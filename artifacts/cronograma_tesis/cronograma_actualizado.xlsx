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15 semanas" sheetId="1" r:id="rId5"/>
    <sheet state="visible" name="Plan de trabajo" sheetId="2" r:id="rId6"/>
  </sheets>
  <definedNames/>
  <calcPr/>
</workbook>
</file>

<file path=xl/sharedStrings.xml><?xml version="1.0" encoding="utf-8"?>
<sst xmlns="http://schemas.openxmlformats.org/spreadsheetml/2006/main" count="559" uniqueCount="269">
  <si>
    <t>PLAN DE TRABAJO</t>
  </si>
  <si>
    <t>CRONOGRAMA DE TESIS</t>
  </si>
  <si>
    <t>Gantt de edición manual</t>
  </si>
  <si>
    <t>Fechas y porcentaje se editan en el Gantt. Las predecesoras son una referencia y no restringen la programación.</t>
  </si>
  <si>
    <t>Horas activas: estimación editable. Los colores de los bloques y la marca de actividad crítica se cambian manualmente.</t>
  </si>
  <si>
    <t>Las fechas y los bloques son independientes: revisa ambos cuando reorganices una actividad.</t>
  </si>
  <si>
    <t>Desarrollo de un manipulador móvil asistente doméstico basado en aprendizaje robótico y comprensión semántica para personas con movilidad reducida.</t>
  </si>
  <si>
    <t>Semana 4: del 14 al 20 de septiembre de 2026.</t>
  </si>
  <si>
    <t>Avance global</t>
  </si>
  <si>
    <t>54 actividades vinculadas a los ocho entregables del EDT.</t>
  </si>
  <si>
    <t>ID</t>
  </si>
  <si>
    <t>EDT</t>
  </si>
  <si>
    <t>Actividad</t>
  </si>
  <si>
    <t>Horas
activas</t>
  </si>
  <si>
    <t>Predecesoras
(referencia)</t>
  </si>
  <si>
    <t>Resultado verificable</t>
  </si>
  <si>
    <t>Inicio</t>
  </si>
  <si>
    <t>Fin</t>
  </si>
  <si>
    <t>Porcentaje</t>
  </si>
  <si>
    <t>M01</t>
  </si>
  <si>
    <t>1.1</t>
  </si>
  <si>
    <t>Inventariar componentes, materiales y disponibilidad</t>
  </si>
  <si>
    <t>Lista de materiales y faltantes confirmada.</t>
  </si>
  <si>
    <t>Porcentaje vacío: sin reporte</t>
  </si>
  <si>
    <t>Calendario: 24/08/2026 al 04/12/2026. 15 semanas.</t>
  </si>
  <si>
    <t>Semanas 1 a 3: programación histórica por confirmar.</t>
  </si>
  <si>
    <t>Mueve bloques con Cortar y Pegar (Ctrl+X / Ctrl+V).</t>
  </si>
  <si>
    <t>Rojo y azul: rellenos manuales editables.</t>
  </si>
  <si>
    <t>Sin ruta crítica automática.</t>
  </si>
  <si>
    <t>Para quitar un bloque: Inicio &gt; Borrar &gt; Borrar formatos, o Color de relleno &gt; Sin relleno.</t>
  </si>
  <si>
    <t>Inicio y fin son editables. Fechas y bloques se ajustan por separado.</t>
  </si>
  <si>
    <t>Para añadir un bloque: copia uno del color deseado o aplica Color de relleno.</t>
  </si>
  <si>
    <t>Duración
(días)</t>
  </si>
  <si>
    <t>Crítica
(manual)</t>
  </si>
  <si>
    <t>Notas</t>
  </si>
  <si>
    <t>Estado</t>
  </si>
  <si>
    <t>AGOSTO</t>
  </si>
  <si>
    <t>SEPTIEMBRE</t>
  </si>
  <si>
    <t>OCTUBRE</t>
  </si>
  <si>
    <t>NOVIEMBRE</t>
  </si>
  <si>
    <t>NOV. / DIC.</t>
  </si>
  <si>
    <t>M02</t>
  </si>
  <si>
    <t>Revisar STL, tolerancias y preparar el laminado</t>
  </si>
  <si>
    <t>Lotes de impresión y perfiles preparados.</t>
  </si>
  <si>
    <t>M03</t>
  </si>
  <si>
    <t>Imprimir y verificar las piezas de la base</t>
  </si>
  <si>
    <t>1. Plataforma mecánica ensamblada</t>
  </si>
  <si>
    <t>Piezas completas, sin defectos funcionales.</t>
  </si>
  <si>
    <t>M04</t>
  </si>
  <si>
    <t>Ensamblar chasis, ruedas y transmisión</t>
  </si>
  <si>
    <t>Base con movimiento mecánico libre.</t>
  </si>
  <si>
    <t>M05</t>
  </si>
  <si>
    <t>1.2</t>
  </si>
  <si>
    <t>Imprimir brazos, pinzas y estructura de elevación</t>
  </si>
  <si>
    <t>Lote estructural de brazos y elevación verificado.</t>
  </si>
  <si>
    <t>M06</t>
  </si>
  <si>
    <t>Ensamblar ambos brazos y las pinzas</t>
  </si>
  <si>
    <t>M05, M04</t>
  </si>
  <si>
    <t>Brazos y pinzas montados y ajustados.</t>
  </si>
  <si>
    <t>M07</t>
  </si>
  <si>
    <t>Ensamblar y ajustar el mecanismo de elevación</t>
  </si>
  <si>
    <t>Elevación alineada y recorrido verificado.</t>
  </si>
  <si>
    <t>Sí</t>
  </si>
  <si>
    <t>M08</t>
  </si>
  <si>
    <t>1.3</t>
  </si>
  <si>
    <t>Adaptar soportes de sensores, batería y cómputo</t>
  </si>
  <si>
    <t>Soportes dimensionados para la ubicación superior.</t>
  </si>
  <si>
    <t>Revisar STL, tolerancias y preparar archivos</t>
  </si>
  <si>
    <t>M09</t>
  </si>
  <si>
    <t>Imprimir y montar soportes; sujetar el cableado</t>
  </si>
  <si>
    <t>M05, M08</t>
  </si>
  <si>
    <t>Sensores y componentes sujetos, sin interferencias.</t>
  </si>
  <si>
    <t>E01</t>
  </si>
  <si>
    <t>2.1</t>
  </si>
  <si>
    <t>Definir distribución eléctrica y protecciones</t>
  </si>
  <si>
    <t>Diagrama eléctrico y protecciones seleccionados.</t>
  </si>
  <si>
    <t>No</t>
  </si>
  <si>
    <t>E02</t>
  </si>
  <si>
    <t>Integrar batería, regulación y cableado de potencia</t>
  </si>
  <si>
    <t>M07, E01, M09</t>
  </si>
  <si>
    <t>Tensiones y consumo verificados.</t>
  </si>
  <si>
    <t>E03</t>
  </si>
  <si>
    <t>2.2</t>
  </si>
  <si>
    <t>Configurar motores, referencias y límites</t>
  </si>
  <si>
    <t>Ruedas, brazos, pinzas y elevación controlables.</t>
  </si>
  <si>
    <t>E04</t>
  </si>
  <si>
    <t>Verificar parada y movimientos manuales</t>
  </si>
  <si>
    <t>Prueba de parada y límites superada.</t>
  </si>
  <si>
    <t>2. Sistema eléctrico, electrónico y de control básico</t>
  </si>
  <si>
    <t>E05</t>
  </si>
  <si>
    <t>2.3</t>
  </si>
  <si>
    <t>Conectar LiDAR, cámaras, computador y red</t>
  </si>
  <si>
    <t>E02, M09</t>
  </si>
  <si>
    <t>Datos y comunicaciones estables.</t>
  </si>
  <si>
    <t>E06</t>
  </si>
  <si>
    <t>Calibrar sensores y comprobar sincronización</t>
  </si>
  <si>
    <t>E05, E03</t>
  </si>
  <si>
    <t>Calibración geométrica y marcas de tiempo verificadas.</t>
  </si>
  <si>
    <t>Definir distribución eléctrica</t>
  </si>
  <si>
    <t>N01</t>
  </si>
  <si>
    <t>3.1</t>
  </si>
  <si>
    <t>Preparar DimOS, entorno y controladores base</t>
  </si>
  <si>
    <t>Entorno reproducible y controladores disponibles.</t>
  </si>
  <si>
    <t>N02</t>
  </si>
  <si>
    <t>Integrar odometría y navegación de la base</t>
  </si>
  <si>
    <t>N01, E04, E06</t>
  </si>
  <si>
    <t>Robot localizado y controlado desde navegación.</t>
  </si>
  <si>
    <t>N03</t>
  </si>
  <si>
    <t>Mapear la vivienda y validar relocalización</t>
  </si>
  <si>
    <t xml:space="preserve">Integrar batería, regulación y cableado </t>
  </si>
  <si>
    <t>Mapa persistente de las zonas accesibles.</t>
  </si>
  <si>
    <t>N04</t>
  </si>
  <si>
    <t>3.2</t>
  </si>
  <si>
    <t>Configurar habitaciones y destinos semánticos</t>
  </si>
  <si>
    <t>Navegación a destinos nombrados verificada.</t>
  </si>
  <si>
    <t>N05</t>
  </si>
  <si>
    <t>3.3</t>
  </si>
  <si>
    <t>Ajustar aproximación a recogida y entrega</t>
  </si>
  <si>
    <t>Posiciones alcanzables y repetibles.</t>
  </si>
  <si>
    <t>3. Sistema de mapeo y navegación</t>
  </si>
  <si>
    <t>P01</t>
  </si>
  <si>
    <t>4.1</t>
  </si>
  <si>
    <t>Integrar reconocimiento y localización de objetos</t>
  </si>
  <si>
    <t>E06, N01</t>
  </si>
  <si>
    <t>Botella y segundo objeto localizados visualmente.</t>
  </si>
  <si>
    <t>P02</t>
  </si>
  <si>
    <t>4.2</t>
  </si>
  <si>
    <t>Configurar memoria persistente de objetos y lugares</t>
  </si>
  <si>
    <t>P01, N03</t>
  </si>
  <si>
    <t>Ubicaciones y últimas observaciones recuperables.</t>
  </si>
  <si>
    <t>P03</t>
  </si>
  <si>
    <t>4.3</t>
  </si>
  <si>
    <t>Probar consultas, confirmación visual y actualización</t>
  </si>
  <si>
    <t>Preparar middleware, entorno y controladores base</t>
  </si>
  <si>
    <t>Objetos desplazados actualizan su ubicación recordada.</t>
  </si>
  <si>
    <t>V01</t>
  </si>
  <si>
    <t>5.1</t>
  </si>
  <si>
    <t>Definir instrucciones, etapas y formato de planes</t>
  </si>
  <si>
    <t>Planes estructurados y tareas iniciales delimitadas.</t>
  </si>
  <si>
    <t>V02</t>
  </si>
  <si>
    <t>Configurar el VLM y probar interpretación de solicitudes</t>
  </si>
  <si>
    <t>Solicitudes de prueba producen planes válidos.</t>
  </si>
  <si>
    <t xml:space="preserve">Validar navegación en simulación </t>
  </si>
  <si>
    <t>V03</t>
  </si>
  <si>
    <t>Conectar herramientas visuales y consulta de memoria</t>
  </si>
  <si>
    <t>V02, P03</t>
  </si>
  <si>
    <t>Planificador consulta observaciones y ubicaciones.</t>
  </si>
  <si>
    <t>V04</t>
  </si>
  <si>
    <t>5.2</t>
  </si>
  <si>
    <t>Implementar contrato, registro y selección de skills</t>
  </si>
  <si>
    <t>V01, N01</t>
  </si>
  <si>
    <t>Registro común con requisitos, entradas y resultados.</t>
  </si>
  <si>
    <t>Conectar la navegación con las ubicaciones recuperadas de la memoria semántica</t>
  </si>
  <si>
    <t>V05</t>
  </si>
  <si>
    <t>5.3</t>
  </si>
  <si>
    <t>Programar supervisor, aclaraciones y gestión de fallos</t>
  </si>
  <si>
    <t>V03, V04</t>
  </si>
  <si>
    <t>Seguimiento de etapas, consultas y fallos registrados.</t>
  </si>
  <si>
    <t>A01</t>
  </si>
  <si>
    <t>6.1.1</t>
  </si>
  <si>
    <t>Configurar teleoperación y captura sincronizada</t>
  </si>
  <si>
    <t>E04, E06</t>
  </si>
  <si>
    <t>Grabación de imágenes, estados y acciones operativa.</t>
  </si>
  <si>
    <t>Validar navegación transportando objetos</t>
  </si>
  <si>
    <t>A02</t>
  </si>
  <si>
    <t>Recolectar demostraciones de las habilidades iniciales</t>
  </si>
  <si>
    <t>Demostraciones de recogida y colocación accesible.</t>
  </si>
  <si>
    <t>A03</t>
  </si>
  <si>
    <t>6.1.2</t>
  </si>
  <si>
    <t>Revisar episodios y organizar datasets</t>
  </si>
  <si>
    <t>Episodios válidos, versiones y particiones definidas.</t>
  </si>
  <si>
    <t>4. Sistema de percepción y memoria semántica</t>
  </si>
  <si>
    <t>A04</t>
  </si>
  <si>
    <t>6.2.1</t>
  </si>
  <si>
    <t>Entrenar las primeras políticas ACT</t>
  </si>
  <si>
    <t>Configuraciones, modelos y curvas de entrenamiento.</t>
  </si>
  <si>
    <t>A05</t>
  </si>
  <si>
    <t>6.2.2</t>
  </si>
  <si>
    <t>Evaluar políticas en pruebas físicas iniciales</t>
  </si>
  <si>
    <t>Éxitos, fallos y condiciones de inicio registrados.</t>
  </si>
  <si>
    <t>A06</t>
  </si>
  <si>
    <t>Completar datos de fallos y revisar el dataset</t>
  </si>
  <si>
    <t>Demostraciones adicionales revisadas y versionadas.</t>
  </si>
  <si>
    <t>A07</t>
  </si>
  <si>
    <t>Reentrenar las políticas con el dataset corregido</t>
  </si>
  <si>
    <t>Modelos actualizados y configuraciones guardadas.</t>
  </si>
  <si>
    <t>Asociar los objetos detectados con su ubicación espacial</t>
  </si>
  <si>
    <t>A08</t>
  </si>
  <si>
    <t>Seleccionar políticas mediante pruebas repetidas</t>
  </si>
  <si>
    <t>Políticas elegidas con criterios de éxito comunes.</t>
  </si>
  <si>
    <t>A09</t>
  </si>
  <si>
    <t>6.3</t>
  </si>
  <si>
    <t>Integrar ACT como skills con inicio y fin verificables</t>
  </si>
  <si>
    <t>A08, V04</t>
  </si>
  <si>
    <t>Skills ejecutables desde el coordinador.</t>
  </si>
  <si>
    <t>5. Planificador VLM y coordinación de habilidades</t>
  </si>
  <si>
    <t>U01</t>
  </si>
  <si>
    <t>7.1</t>
  </si>
  <si>
    <t>Diseñar pantallas y flujo de solicitudes</t>
  </si>
  <si>
    <t>Flujo usable desde celular y laptop.</t>
  </si>
  <si>
    <t>U02</t>
  </si>
  <si>
    <t>Implementar interfaz web y solicitudes por texto</t>
  </si>
  <si>
    <t>Solicitudes enviadas y recepción visible.</t>
  </si>
  <si>
    <t>U03</t>
  </si>
  <si>
    <t>Integrar voz, transcripción y respuestas</t>
  </si>
  <si>
    <t>Transcripción visible y confirmación de recepción.</t>
  </si>
  <si>
    <t>U04</t>
  </si>
  <si>
    <t>7.2</t>
  </si>
  <si>
    <t>Conectar cámaras, mapa, posición y progreso</t>
  </si>
  <si>
    <t>U02, N04, E06</t>
  </si>
  <si>
    <t>Panel muestra datos reales del robot.</t>
  </si>
  <si>
    <t>U05</t>
  </si>
  <si>
    <t>7.3</t>
  </si>
  <si>
    <t>Integrar aclaraciones, entrega y controles de parada</t>
  </si>
  <si>
    <t>U04, U03, V05</t>
  </si>
  <si>
    <t>Pausa, cancelación y aclaraciones verificadas.</t>
  </si>
  <si>
    <t>Evaluar precisión, latencia y consumo de recursos del VLM local</t>
  </si>
  <si>
    <t>I01</t>
  </si>
  <si>
    <t>8.2</t>
  </si>
  <si>
    <t>Preparar escenarios, repeticiones y registro experimental</t>
  </si>
  <si>
    <t>Protocolo con criterios de éxito y registro de intervención.</t>
  </si>
  <si>
    <t>Integrar las habilidades con Agentive Control/MCP de middleware a través del gestor</t>
  </si>
  <si>
    <t>Registrar decisiones, acciones, resultados e intervenciones para la evaluación</t>
  </si>
  <si>
    <t>I02</t>
  </si>
  <si>
    <t>8.1</t>
  </si>
  <si>
    <t>Integrar misiones completas de recogida y entrega</t>
  </si>
  <si>
    <t>6. Biblioteca de habilidades de manipulación ACT</t>
  </si>
  <si>
    <t>A09, N05, P03, V05, U05</t>
  </si>
  <si>
    <t>Primera misión completa ejecutada desde la interfaz.</t>
  </si>
  <si>
    <t>I03</t>
  </si>
  <si>
    <t>Ejecutar piloto y localizar fallos de integración</t>
  </si>
  <si>
    <t>I02, I01</t>
  </si>
  <si>
    <t>Piloto con fallos y causas identificadas.</t>
  </si>
  <si>
    <t>I04</t>
  </si>
  <si>
    <t>Corregir integración y repetir misiones del piloto</t>
  </si>
  <si>
    <t>Correcciones verificadas sin ampliar el alcance.</t>
  </si>
  <si>
    <t>I05</t>
  </si>
  <si>
    <t>8.3.1</t>
  </si>
  <si>
    <t>Medir éxito, tiempo e intervención en misiones completas</t>
  </si>
  <si>
    <t>Resultados de ensayos repetidos con teleoperación separada.</t>
  </si>
  <si>
    <t>I06</t>
  </si>
  <si>
    <t>8.3.2</t>
  </si>
  <si>
    <t>Comparar búsquedas con y sin memoria</t>
  </si>
  <si>
    <t>Tiempos y aciertos en ubicaciones constantes y cambiadas.</t>
  </si>
  <si>
    <t>I07</t>
  </si>
  <si>
    <t>Preparar datos y entrenar una habilidad reservada</t>
  </si>
  <si>
    <t>Datos, entrenamiento y horas de ampliación registrados.</t>
  </si>
  <si>
    <t>I08</t>
  </si>
  <si>
    <t>Registrar la nueva skill y comprobar tareas anteriores</t>
  </si>
  <si>
    <t>I07, I04</t>
  </si>
  <si>
    <t>Esfuerzo de integración y regresiones medidos.</t>
  </si>
  <si>
    <t>I09</t>
  </si>
  <si>
    <t>8.3.4</t>
  </si>
  <si>
    <t>Verificar entrega accesible e interacción del usuario</t>
  </si>
  <si>
    <t>I08, I06</t>
  </si>
  <si>
    <t>Accesibilidad y uso del flujo verificados; población indicada.</t>
  </si>
  <si>
    <t>7. Interfaz de usuario accesible y operativa</t>
  </si>
  <si>
    <t>I10</t>
  </si>
  <si>
    <t>8.3.3</t>
  </si>
  <si>
    <t>Consolidar costes y contrastar alternativas comparables</t>
  </si>
  <si>
    <t>Coste de hardware, cómputo y operación documentado.</t>
  </si>
  <si>
    <t>I11</t>
  </si>
  <si>
    <t>Consolidar métricas y cerrar los resultados técnicos</t>
  </si>
  <si>
    <t>I09, I10, I08, I06, I05</t>
  </si>
  <si>
    <t>Resultados completos de autonomía, memoria, ampliación y coste.</t>
  </si>
  <si>
    <t>I12</t>
  </si>
  <si>
    <t>Realizar demostración final y entrega del sistema</t>
  </si>
  <si>
    <t>Sistema integrado y evidencias finales disponibles.</t>
  </si>
  <si>
    <t>8. Sistema integrado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</si>
</sst>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"/>
    <numFmt numFmtId="165" formatCode="&quot;S&quot;00"/>
    <numFmt numFmtId="166" formatCode="dd/mm"/>
    <numFmt numFmtId="167" formatCode=";;;"/>
    <numFmt numFmtId="168" formatCode="d.m"/>
  </numFmts>
  <fonts count="12">
    <font>
      <sz val="11.0"/>
      <color rgb="FF000000"/>
      <name val="Carlito"/>
      <scheme val="minor"/>
    </font>
    <font>
      <sz val="10.0"/>
      <color rgb="FF263B54"/>
      <name val="Arial"/>
    </font>
    <font>
      <sz val="11.0"/>
      <color rgb="FF000000"/>
      <name val="Carlito"/>
    </font>
    <font>
      <b/>
      <sz val="16.0"/>
      <color rgb="FF243B64"/>
      <name val="Arial"/>
    </font>
    <font>
      <b/>
      <sz val="14.0"/>
      <color rgb="FF243B64"/>
      <name val="Arial"/>
    </font>
    <font>
      <sz val="10.0"/>
      <color rgb="FF62748B"/>
      <name val="Arial"/>
    </font>
    <font>
      <b/>
      <sz val="10.0"/>
      <color rgb="FFFFFFFF"/>
      <name val="Arial"/>
    </font>
    <font>
      <sz val="10.0"/>
      <color rgb="FFB8444E"/>
      <name val="Arial"/>
    </font>
    <font>
      <b/>
      <sz val="10.0"/>
      <color rgb="FF456BA5"/>
      <name val="Arial"/>
    </font>
    <font>
      <sz val="11.0"/>
      <color theme="1"/>
      <name val="Carlito"/>
    </font>
    <font>
      <b/>
      <color rgb="FF456BA5"/>
      <name val="Arial"/>
    </font>
    <font>
      <color rgb="FF263B54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243B64"/>
        <bgColor rgb="FF243B64"/>
      </patternFill>
    </fill>
    <fill>
      <patternFill patternType="solid">
        <fgColor rgb="FFF1F5FA"/>
        <bgColor rgb="FFF1F5FA"/>
      </patternFill>
    </fill>
    <fill>
      <patternFill patternType="solid">
        <fgColor rgb="FFFFF2CE"/>
        <bgColor rgb="FFFFF2CE"/>
      </patternFill>
    </fill>
    <fill>
      <patternFill patternType="solid">
        <fgColor rgb="FFFFFFFF"/>
        <bgColor rgb="FFFFFFFF"/>
      </patternFill>
    </fill>
    <fill>
      <patternFill patternType="solid">
        <fgColor rgb="FFAE701E"/>
        <bgColor rgb="FFAE701E"/>
      </patternFill>
    </fill>
    <fill>
      <patternFill patternType="solid">
        <fgColor rgb="FF4A86E8"/>
        <bgColor rgb="FF4A86E8"/>
      </patternFill>
    </fill>
    <fill>
      <patternFill patternType="solid">
        <fgColor rgb="FFE6EDF7"/>
        <bgColor rgb="FFE6EDF7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6AA84F"/>
        <bgColor rgb="FF6AA84F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</fills>
  <borders count="4">
    <border/>
    <border>
      <bottom style="thin">
        <color rgb="FF456BA5"/>
      </bottom>
    </border>
    <border>
      <left style="thin">
        <color rgb="FFD5A44A"/>
      </left>
      <right style="thin">
        <color rgb="FFD5A44A"/>
      </right>
    </border>
    <border>
      <left style="thin">
        <color rgb="FFD5A44A"/>
      </lef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2" fontId="6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vertical="center"/>
    </xf>
    <xf borderId="0" fillId="3" fontId="1" numFmtId="0" xfId="0" applyAlignment="1" applyFill="1" applyFont="1">
      <alignment shrinkToFit="0" vertical="center" wrapText="1"/>
    </xf>
    <xf borderId="0" fillId="4" fontId="1" numFmtId="0" xfId="0" applyAlignment="1" applyFill="1" applyFont="1">
      <alignment shrinkToFit="0" vertical="center" wrapText="1"/>
    </xf>
    <xf borderId="0" fillId="0" fontId="1" numFmtId="9" xfId="0" applyAlignment="1" applyFont="1" applyNumberFormat="1">
      <alignment vertical="center"/>
    </xf>
    <xf borderId="0" fillId="0" fontId="7" numFmtId="0" xfId="0" applyAlignment="1" applyFont="1">
      <alignment vertical="center"/>
    </xf>
    <xf borderId="0" fillId="5" fontId="5" numFmtId="0" xfId="0" applyFill="1" applyFont="1"/>
    <xf borderId="0" fillId="3" fontId="1" numFmtId="164" xfId="0" applyAlignment="1" applyFill="1" applyFont="1" applyNumberFormat="1">
      <alignment vertical="center"/>
    </xf>
    <xf borderId="0" fillId="2" fontId="6" numFmtId="0" xfId="0" applyAlignment="1" applyFill="1" applyFont="1">
      <alignment horizontal="center" vertical="center"/>
    </xf>
    <xf borderId="0" fillId="3" fontId="1" numFmtId="9" xfId="0" applyAlignment="1" applyFill="1" applyFont="1" applyNumberFormat="1">
      <alignment vertical="center"/>
    </xf>
    <xf borderId="0" fillId="2" fontId="6" numFmtId="165" xfId="0" applyAlignment="1" applyFill="1" applyFont="1" applyNumberFormat="1">
      <alignment horizontal="center" vertical="center"/>
    </xf>
    <xf borderId="0" fillId="0" fontId="1" numFmtId="0" xfId="0" applyAlignment="1" applyFont="1">
      <alignment shrinkToFit="0" vertical="center" wrapText="1"/>
    </xf>
    <xf borderId="2" fillId="6" fontId="6" numFmtId="165" xfId="0" applyAlignment="1" applyBorder="1" applyFill="1" applyFont="1" applyNumberFormat="1">
      <alignment horizontal="center" vertical="center"/>
    </xf>
    <xf borderId="0" fillId="2" fontId="6" numFmtId="166" xfId="0" applyAlignment="1" applyFill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2" fillId="6" fontId="6" numFmtId="166" xfId="0" applyAlignment="1" applyBorder="1" applyFill="1" applyFont="1" applyNumberFormat="1">
      <alignment horizontal="center" vertical="center"/>
    </xf>
    <xf borderId="2" fillId="0" fontId="1" numFmtId="0" xfId="0" applyAlignment="1" applyBorder="1" applyFont="1">
      <alignment vertical="center"/>
    </xf>
    <xf borderId="0" fillId="7" fontId="6" numFmtId="0" xfId="0" applyAlignment="1" applyFill="1" applyFont="1">
      <alignment vertical="center"/>
    </xf>
    <xf borderId="0" fillId="7" fontId="6" numFmtId="9" xfId="0" applyAlignment="1" applyFill="1" applyFont="1" applyNumberFormat="1">
      <alignment horizontal="center" vertical="center"/>
    </xf>
    <xf borderId="0" fillId="7" fontId="6" numFmtId="164" xfId="0" applyAlignment="1" applyFill="1" applyFont="1" applyNumberFormat="1">
      <alignment horizontal="center" vertical="center"/>
    </xf>
    <xf borderId="0" fillId="7" fontId="6" numFmtId="0" xfId="0" applyAlignment="1" applyFill="1" applyFont="1">
      <alignment horizontal="center" vertical="center"/>
    </xf>
    <xf borderId="0" fillId="7" fontId="6" numFmtId="167" xfId="0" applyAlignment="1" applyFill="1" applyFont="1" applyNumberFormat="1">
      <alignment vertical="center"/>
    </xf>
    <xf borderId="2" fillId="7" fontId="6" numFmtId="167" xfId="0" applyAlignment="1" applyBorder="1" applyFill="1" applyFont="1" applyNumberFormat="1">
      <alignment vertical="center"/>
    </xf>
    <xf borderId="0" fillId="8" fontId="6" numFmtId="167" xfId="0" applyAlignment="1" applyFill="1" applyFont="1" applyNumberFormat="1">
      <alignment vertical="center"/>
    </xf>
    <xf borderId="0" fillId="3" fontId="8" numFmtId="0" xfId="0" applyAlignment="1" applyFill="1" applyFont="1">
      <alignment vertical="center"/>
    </xf>
    <xf borderId="0" fillId="4" fontId="1" numFmtId="9" xfId="0" applyAlignment="1" applyFill="1" applyFont="1" applyNumberFormat="1">
      <alignment horizontal="center" vertical="center"/>
    </xf>
    <xf borderId="0" fillId="4" fontId="1" numFmtId="164" xfId="0" applyAlignment="1" applyFill="1" applyFont="1" applyNumberFormat="1">
      <alignment horizontal="center" vertical="center"/>
    </xf>
    <xf borderId="0" fillId="3" fontId="1" numFmtId="0" xfId="0" applyAlignment="1" applyFill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0" fillId="7" fontId="1" numFmtId="167" xfId="0" applyAlignment="1" applyFill="1" applyFont="1" applyNumberFormat="1">
      <alignment vertical="center"/>
    </xf>
    <xf borderId="0" fillId="3" fontId="1" numFmtId="167" xfId="0" applyAlignment="1" applyFill="1" applyFont="1" applyNumberFormat="1">
      <alignment vertical="center"/>
    </xf>
    <xf borderId="2" fillId="3" fontId="1" numFmtId="167" xfId="0" applyAlignment="1" applyBorder="1" applyFill="1" applyFont="1" applyNumberFormat="1">
      <alignment vertical="center"/>
    </xf>
    <xf borderId="0" fillId="0" fontId="8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5" fontId="1" numFmtId="167" xfId="0" applyAlignment="1" applyFill="1" applyFont="1" applyNumberFormat="1">
      <alignment vertical="center"/>
    </xf>
    <xf borderId="2" fillId="5" fontId="1" numFmtId="167" xfId="0" applyAlignment="1" applyBorder="1" applyFill="1" applyFont="1" applyNumberFormat="1">
      <alignment vertical="center"/>
    </xf>
    <xf borderId="3" fillId="3" fontId="1" numFmtId="167" xfId="0" applyAlignment="1" applyBorder="1" applyFill="1" applyFont="1" applyNumberFormat="1">
      <alignment vertical="center"/>
    </xf>
    <xf borderId="0" fillId="9" fontId="6" numFmtId="0" xfId="0" applyAlignment="1" applyFill="1" applyFont="1">
      <alignment vertical="center"/>
    </xf>
    <xf borderId="0" fillId="9" fontId="6" numFmtId="9" xfId="0" applyAlignment="1" applyFill="1" applyFont="1" applyNumberFormat="1">
      <alignment horizontal="center" vertical="center"/>
    </xf>
    <xf borderId="0" fillId="9" fontId="6" numFmtId="164" xfId="0" applyAlignment="1" applyFill="1" applyFont="1" applyNumberFormat="1">
      <alignment horizontal="center" vertical="center"/>
    </xf>
    <xf borderId="0" fillId="9" fontId="6" numFmtId="0" xfId="0" applyAlignment="1" applyFill="1" applyFont="1">
      <alignment horizontal="center" vertical="center"/>
    </xf>
    <xf borderId="0" fillId="4" fontId="1" numFmtId="9" xfId="0" applyAlignment="1" applyFill="1" applyFont="1" applyNumberFormat="1">
      <alignment horizontal="center" readingOrder="0" vertical="center"/>
    </xf>
    <xf borderId="0" fillId="10" fontId="6" numFmtId="0" xfId="0" applyAlignment="1" applyFill="1" applyFont="1">
      <alignment vertical="center"/>
    </xf>
    <xf borderId="0" fillId="10" fontId="6" numFmtId="9" xfId="0" applyAlignment="1" applyFill="1" applyFont="1" applyNumberFormat="1">
      <alignment horizontal="center" vertical="center"/>
    </xf>
    <xf borderId="0" fillId="10" fontId="6" numFmtId="164" xfId="0" applyAlignment="1" applyFill="1" applyFont="1" applyNumberFormat="1">
      <alignment horizontal="center" vertical="center"/>
    </xf>
    <xf borderId="0" fillId="10" fontId="6" numFmtId="0" xfId="0" applyAlignment="1" applyFill="1" applyFont="1">
      <alignment horizontal="center" vertical="center"/>
    </xf>
    <xf borderId="0" fillId="10" fontId="6" numFmtId="167" xfId="0" applyAlignment="1" applyFill="1" applyFont="1" applyNumberFormat="1">
      <alignment vertical="center"/>
    </xf>
    <xf borderId="2" fillId="10" fontId="6" numFmtId="167" xfId="0" applyAlignment="1" applyBorder="1" applyFill="1" applyFont="1" applyNumberFormat="1">
      <alignment vertical="center"/>
    </xf>
    <xf borderId="0" fillId="0" fontId="8" numFmtId="0" xfId="0" applyAlignment="1" applyFont="1">
      <alignment horizontal="left" vertical="center"/>
    </xf>
    <xf borderId="0" fillId="3" fontId="8" numFmtId="168" xfId="0" applyAlignment="1" applyFill="1" applyFont="1" applyNumberFormat="1">
      <alignment horizontal="left" readingOrder="0" vertical="center"/>
    </xf>
    <xf borderId="0" fillId="0" fontId="8" numFmtId="168" xfId="0" applyAlignment="1" applyFont="1" applyNumberFormat="1">
      <alignment horizontal="left" readingOrder="0" vertical="center"/>
    </xf>
    <xf borderId="0" fillId="3" fontId="8" numFmtId="0" xfId="0" applyAlignment="1" applyFill="1" applyFont="1">
      <alignment horizontal="left" vertical="center"/>
    </xf>
    <xf borderId="0" fillId="0" fontId="9" numFmtId="0" xfId="0" applyFont="1"/>
    <xf borderId="0" fillId="3" fontId="10" numFmtId="0" xfId="0" applyAlignment="1" applyFill="1" applyFont="1">
      <alignment vertical="center"/>
    </xf>
    <xf borderId="0" fillId="3" fontId="10" numFmtId="168" xfId="0" applyAlignment="1" applyFill="1" applyFont="1" applyNumberFormat="1">
      <alignment horizontal="left" readingOrder="0" vertical="center"/>
    </xf>
    <xf borderId="0" fillId="3" fontId="11" numFmtId="0" xfId="0" applyAlignment="1" applyFill="1" applyFont="1">
      <alignment shrinkToFit="0" vertical="center" wrapText="1"/>
    </xf>
    <xf borderId="0" fillId="4" fontId="9" numFmtId="9" xfId="0" applyAlignment="1" applyFill="1" applyFont="1" applyNumberFormat="1">
      <alignment vertical="center"/>
    </xf>
    <xf borderId="0" fillId="4" fontId="11" numFmtId="164" xfId="0" applyAlignment="1" applyFill="1" applyFont="1" applyNumberFormat="1">
      <alignment horizontal="center" vertical="center"/>
    </xf>
    <xf borderId="0" fillId="3" fontId="11" numFmtId="0" xfId="0" applyAlignment="1" applyFill="1" applyFont="1">
      <alignment horizontal="center" vertical="center"/>
    </xf>
    <xf borderId="0" fillId="4" fontId="11" numFmtId="0" xfId="0" applyAlignment="1" applyFill="1" applyFont="1">
      <alignment horizontal="center" vertical="center"/>
    </xf>
    <xf borderId="0" fillId="3" fontId="9" numFmtId="0" xfId="0" applyAlignment="1" applyFill="1" applyFont="1">
      <alignment vertical="center"/>
    </xf>
    <xf borderId="0" fillId="3" fontId="9" numFmtId="167" xfId="0" applyAlignment="1" applyFill="1" applyFont="1" applyNumberFormat="1">
      <alignment vertical="center"/>
    </xf>
    <xf borderId="2" fillId="3" fontId="9" numFmtId="167" xfId="0" applyAlignment="1" applyBorder="1" applyFill="1" applyFont="1" applyNumberFormat="1">
      <alignment vertical="center"/>
    </xf>
    <xf borderId="0" fillId="11" fontId="6" numFmtId="0" xfId="0" applyAlignment="1" applyFill="1" applyFont="1">
      <alignment vertical="center"/>
    </xf>
    <xf borderId="0" fillId="11" fontId="6" numFmtId="9" xfId="0" applyAlignment="1" applyFill="1" applyFont="1" applyNumberFormat="1">
      <alignment horizontal="center" vertical="center"/>
    </xf>
    <xf borderId="0" fillId="11" fontId="6" numFmtId="164" xfId="0" applyAlignment="1" applyFill="1" applyFont="1" applyNumberFormat="1">
      <alignment horizontal="center" vertical="center"/>
    </xf>
    <xf borderId="0" fillId="11" fontId="6" numFmtId="0" xfId="0" applyAlignment="1" applyFill="1" applyFont="1">
      <alignment horizontal="center" vertical="center"/>
    </xf>
    <xf borderId="2" fillId="8" fontId="6" numFmtId="167" xfId="0" applyAlignment="1" applyBorder="1" applyFill="1" applyFont="1" applyNumberFormat="1">
      <alignment vertical="center"/>
    </xf>
    <xf borderId="0" fillId="11" fontId="6" numFmtId="167" xfId="0" applyAlignment="1" applyFill="1" applyFont="1" applyNumberFormat="1">
      <alignment vertical="center"/>
    </xf>
    <xf borderId="0" fillId="12" fontId="6" numFmtId="0" xfId="0" applyAlignment="1" applyFill="1" applyFont="1">
      <alignment vertical="center"/>
    </xf>
    <xf borderId="0" fillId="12" fontId="6" numFmtId="9" xfId="0" applyAlignment="1" applyFill="1" applyFont="1" applyNumberFormat="1">
      <alignment horizontal="center" vertical="center"/>
    </xf>
    <xf borderId="0" fillId="12" fontId="6" numFmtId="164" xfId="0" applyAlignment="1" applyFill="1" applyFont="1" applyNumberFormat="1">
      <alignment horizontal="center" vertical="center"/>
    </xf>
    <xf borderId="0" fillId="12" fontId="6" numFmtId="0" xfId="0" applyAlignment="1" applyFill="1" applyFont="1">
      <alignment horizontal="center" vertical="center"/>
    </xf>
    <xf borderId="2" fillId="12" fontId="6" numFmtId="167" xfId="0" applyAlignment="1" applyBorder="1" applyFill="1" applyFont="1" applyNumberFormat="1">
      <alignment vertical="center"/>
    </xf>
    <xf borderId="0" fillId="13" fontId="6" numFmtId="0" xfId="0" applyAlignment="1" applyFill="1" applyFont="1">
      <alignment vertical="center"/>
    </xf>
    <xf borderId="0" fillId="13" fontId="6" numFmtId="9" xfId="0" applyAlignment="1" applyFill="1" applyFont="1" applyNumberFormat="1">
      <alignment horizontal="center" vertical="center"/>
    </xf>
    <xf borderId="0" fillId="13" fontId="6" numFmtId="164" xfId="0" applyAlignment="1" applyFill="1" applyFont="1" applyNumberFormat="1">
      <alignment horizontal="center" vertical="center"/>
    </xf>
    <xf borderId="0" fillId="13" fontId="6" numFmtId="0" xfId="0" applyAlignment="1" applyFill="1" applyFont="1">
      <alignment horizontal="center" vertical="center"/>
    </xf>
    <xf borderId="0" fillId="14" fontId="6" numFmtId="0" xfId="0" applyAlignment="1" applyFill="1" applyFont="1">
      <alignment vertical="center"/>
    </xf>
    <xf borderId="0" fillId="14" fontId="6" numFmtId="9" xfId="0" applyAlignment="1" applyFill="1" applyFont="1" applyNumberFormat="1">
      <alignment horizontal="center" vertical="center"/>
    </xf>
    <xf borderId="0" fillId="14" fontId="6" numFmtId="164" xfId="0" applyAlignment="1" applyFill="1" applyFont="1" applyNumberFormat="1">
      <alignment horizontal="center" vertical="center"/>
    </xf>
    <xf borderId="0" fillId="14" fontId="6" numFmtId="0" xfId="0" applyAlignment="1" applyFill="1" applyFont="1">
      <alignment horizontal="center" vertical="center"/>
    </xf>
    <xf borderId="0" fillId="15" fontId="6" numFmtId="0" xfId="0" applyAlignment="1" applyFill="1" applyFont="1">
      <alignment vertical="center"/>
    </xf>
    <xf borderId="0" fillId="15" fontId="6" numFmtId="9" xfId="0" applyAlignment="1" applyFill="1" applyFont="1" applyNumberFormat="1">
      <alignment horizontal="center" vertical="center"/>
    </xf>
    <xf borderId="0" fillId="15" fontId="6" numFmtId="164" xfId="0" applyAlignment="1" applyFill="1" applyFont="1" applyNumberFormat="1">
      <alignment horizontal="center" vertical="center"/>
    </xf>
    <xf borderId="0" fillId="15" fontId="6" numFmtId="0" xfId="0" applyAlignment="1" applyFill="1" applyFont="1">
      <alignment horizontal="center" vertical="center"/>
    </xf>
    <xf borderId="0" fillId="15" fontId="6" numFmtId="167" xfId="0" applyAlignment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3B64"/>
    <pageSetUpPr/>
  </sheetPr>
  <sheetViews>
    <sheetView showGridLines="0"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2.63" defaultRowHeight="15.0"/>
  <cols>
    <col customWidth="1" min="1" max="1" width="2.0"/>
    <col customWidth="1" min="2" max="2" width="6.0"/>
    <col customWidth="1" min="3" max="3" width="7.13"/>
    <col customWidth="1" min="4" max="4" width="54.63"/>
    <col customWidth="1" min="5" max="5" width="9.13"/>
    <col customWidth="1" min="6" max="7" width="9.75"/>
    <col customWidth="1" min="8" max="8" width="6.88"/>
    <col customWidth="1" min="9" max="9" width="14.25"/>
    <col customWidth="1" min="10" max="10" width="10.5"/>
    <col customWidth="1" min="11" max="11" width="12.88"/>
    <col customWidth="1" min="12" max="12" width="1.63"/>
    <col customWidth="1" min="13" max="27" width="8.5"/>
    <col customWidth="1" min="28" max="35" width="8.63"/>
  </cols>
  <sheetData>
    <row r="1" ht="27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8.5" customHeight="1">
      <c r="A2" s="1"/>
      <c r="B2" s="3" t="s">
        <v>1</v>
      </c>
      <c r="L2" s="1"/>
      <c r="M2" s="4" t="s">
        <v>2</v>
      </c>
      <c r="AB2" s="1"/>
      <c r="AC2" s="1"/>
      <c r="AD2" s="1"/>
      <c r="AE2" s="1"/>
      <c r="AF2" s="1"/>
      <c r="AG2" s="1"/>
      <c r="AH2" s="1"/>
      <c r="AI2" s="1"/>
    </row>
    <row r="3" ht="7.5" customHeight="1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"/>
      <c r="AC3" s="1"/>
      <c r="AD3" s="1"/>
      <c r="AE3" s="1"/>
      <c r="AF3" s="1"/>
      <c r="AG3" s="1"/>
      <c r="AH3" s="1"/>
      <c r="AI3" s="1"/>
    </row>
    <row r="4" ht="27.75" customHeight="1">
      <c r="A4" s="1"/>
      <c r="B4" s="6" t="s">
        <v>6</v>
      </c>
      <c r="AB4" s="1"/>
      <c r="AC4" s="1"/>
      <c r="AD4" s="1"/>
      <c r="AE4" s="1"/>
      <c r="AF4" s="1"/>
      <c r="AG4" s="1"/>
      <c r="AH4" s="1"/>
      <c r="AI4" s="1"/>
    </row>
    <row r="5" ht="27.75" customHeight="1">
      <c r="A5" s="1"/>
      <c r="B5" s="1" t="s">
        <v>7</v>
      </c>
      <c r="E5" s="1"/>
      <c r="F5" s="1" t="s">
        <v>8</v>
      </c>
      <c r="H5" s="11" t="str">
        <f>IF(COUNT('Plan de trabajo'!J12:J65)=54,SUMPRODUCT('Plan de trabajo'!J12:J65,'Plan de trabajo'!E12:E65)/SUM('Plan de trabajo'!E12:E65),"")</f>
        <v/>
      </c>
      <c r="I5" s="1" t="s">
        <v>23</v>
      </c>
      <c r="L5" s="1"/>
      <c r="M5" s="1" t="s">
        <v>24</v>
      </c>
      <c r="T5" s="1" t="s">
        <v>25</v>
      </c>
      <c r="AB5" s="1"/>
      <c r="AC5" s="1"/>
      <c r="AD5" s="1"/>
      <c r="AE5" s="1"/>
      <c r="AF5" s="1"/>
      <c r="AG5" s="1"/>
      <c r="AH5" s="1"/>
      <c r="AI5" s="1"/>
    </row>
    <row r="6" ht="27.75" customHeight="1">
      <c r="A6" s="1"/>
      <c r="B6" s="1" t="s">
        <v>26</v>
      </c>
      <c r="E6" s="12" t="s">
        <v>27</v>
      </c>
      <c r="I6" s="1" t="s">
        <v>28</v>
      </c>
      <c r="L6" s="1"/>
      <c r="M6" s="1" t="s">
        <v>29</v>
      </c>
      <c r="AB6" s="1"/>
      <c r="AC6" s="1"/>
      <c r="AD6" s="1"/>
      <c r="AE6" s="1"/>
      <c r="AF6" s="1"/>
      <c r="AG6" s="1"/>
      <c r="AH6" s="1"/>
      <c r="AI6" s="1"/>
    </row>
    <row r="7" ht="27.75" customHeight="1">
      <c r="A7" s="1"/>
      <c r="B7" s="1" t="s">
        <v>30</v>
      </c>
      <c r="L7" s="1"/>
      <c r="M7" s="13" t="s">
        <v>31</v>
      </c>
      <c r="AB7" s="1"/>
      <c r="AC7" s="1"/>
      <c r="AD7" s="1"/>
      <c r="AE7" s="1"/>
      <c r="AF7" s="1"/>
      <c r="AG7" s="1"/>
      <c r="AH7" s="1"/>
      <c r="AI7" s="1"/>
    </row>
    <row r="8" ht="22.5" customHeight="1">
      <c r="A8" s="1"/>
      <c r="B8" s="7" t="s">
        <v>10</v>
      </c>
      <c r="C8" s="7" t="s">
        <v>11</v>
      </c>
      <c r="D8" s="7" t="s">
        <v>12</v>
      </c>
      <c r="E8" s="7" t="s">
        <v>18</v>
      </c>
      <c r="F8" s="7" t="s">
        <v>16</v>
      </c>
      <c r="G8" s="7" t="s">
        <v>17</v>
      </c>
      <c r="H8" s="7" t="s">
        <v>32</v>
      </c>
      <c r="I8" s="7" t="s">
        <v>33</v>
      </c>
      <c r="J8" s="7" t="s">
        <v>34</v>
      </c>
      <c r="K8" s="7" t="s">
        <v>35</v>
      </c>
      <c r="L8" s="1"/>
      <c r="M8" s="15" t="s">
        <v>36</v>
      </c>
      <c r="O8" s="15" t="s">
        <v>37</v>
      </c>
      <c r="S8" s="15" t="s">
        <v>38</v>
      </c>
      <c r="W8" s="15" t="s">
        <v>39</v>
      </c>
      <c r="AA8" s="15" t="s">
        <v>40</v>
      </c>
      <c r="AB8" s="1"/>
      <c r="AC8" s="1"/>
      <c r="AD8" s="1"/>
      <c r="AE8" s="1"/>
      <c r="AF8" s="1"/>
      <c r="AG8" s="1"/>
      <c r="AH8" s="1"/>
      <c r="AI8" s="1"/>
    </row>
    <row r="9" ht="22.5" customHeight="1">
      <c r="A9" s="1"/>
      <c r="L9" s="1"/>
      <c r="M9" s="17">
        <v>1.0</v>
      </c>
      <c r="N9" s="17">
        <v>2.0</v>
      </c>
      <c r="O9" s="17">
        <v>3.0</v>
      </c>
      <c r="P9" s="19">
        <v>4.0</v>
      </c>
      <c r="Q9" s="17">
        <v>5.0</v>
      </c>
      <c r="R9" s="17">
        <v>6.0</v>
      </c>
      <c r="S9" s="17">
        <v>7.0</v>
      </c>
      <c r="T9" s="17">
        <v>8.0</v>
      </c>
      <c r="U9" s="17">
        <v>9.0</v>
      </c>
      <c r="V9" s="17">
        <v>10.0</v>
      </c>
      <c r="W9" s="17">
        <v>11.0</v>
      </c>
      <c r="X9" s="17">
        <v>12.0</v>
      </c>
      <c r="Y9" s="17">
        <v>13.0</v>
      </c>
      <c r="Z9" s="17">
        <v>14.0</v>
      </c>
      <c r="AA9" s="17">
        <v>15.0</v>
      </c>
      <c r="AB9" s="1"/>
      <c r="AC9" s="1"/>
      <c r="AD9" s="1"/>
      <c r="AE9" s="1"/>
      <c r="AF9" s="1"/>
      <c r="AG9" s="1"/>
      <c r="AH9" s="1"/>
      <c r="AI9" s="1"/>
    </row>
    <row r="10" ht="22.5" customHeight="1">
      <c r="A10" s="1"/>
      <c r="L10" s="1"/>
      <c r="M10" s="20">
        <v>46258.0</v>
      </c>
      <c r="N10" s="20">
        <v>46265.0</v>
      </c>
      <c r="O10" s="20">
        <v>46272.0</v>
      </c>
      <c r="P10" s="22">
        <v>46279.0</v>
      </c>
      <c r="Q10" s="20">
        <v>46286.0</v>
      </c>
      <c r="R10" s="20">
        <v>46293.0</v>
      </c>
      <c r="S10" s="20">
        <v>46300.0</v>
      </c>
      <c r="T10" s="20">
        <v>46307.0</v>
      </c>
      <c r="U10" s="20">
        <v>46314.0</v>
      </c>
      <c r="V10" s="20">
        <v>46321.0</v>
      </c>
      <c r="W10" s="20">
        <v>46328.0</v>
      </c>
      <c r="X10" s="20">
        <v>46335.0</v>
      </c>
      <c r="Y10" s="20">
        <v>46342.0</v>
      </c>
      <c r="Z10" s="20">
        <v>46349.0</v>
      </c>
      <c r="AA10" s="20">
        <v>46356.0</v>
      </c>
      <c r="AB10" s="1"/>
      <c r="AC10" s="1"/>
      <c r="AD10" s="1"/>
      <c r="AE10" s="1"/>
      <c r="AF10" s="1"/>
      <c r="AG10" s="1"/>
      <c r="AH10" s="1"/>
      <c r="AI10" s="1"/>
    </row>
    <row r="11" ht="22.5" customHeight="1">
      <c r="A11" s="1"/>
      <c r="L11" s="1"/>
      <c r="M11" s="20">
        <v>46264.0</v>
      </c>
      <c r="N11" s="20">
        <v>46271.0</v>
      </c>
      <c r="O11" s="20">
        <v>46278.0</v>
      </c>
      <c r="P11" s="22">
        <v>46285.0</v>
      </c>
      <c r="Q11" s="20">
        <v>46292.0</v>
      </c>
      <c r="R11" s="20">
        <v>46299.0</v>
      </c>
      <c r="S11" s="20">
        <v>46306.0</v>
      </c>
      <c r="T11" s="20">
        <v>46313.0</v>
      </c>
      <c r="U11" s="20">
        <v>46320.0</v>
      </c>
      <c r="V11" s="20">
        <v>46327.0</v>
      </c>
      <c r="W11" s="20">
        <v>46334.0</v>
      </c>
      <c r="X11" s="20">
        <v>46341.0</v>
      </c>
      <c r="Y11" s="20">
        <v>46348.0</v>
      </c>
      <c r="Z11" s="20">
        <v>46355.0</v>
      </c>
      <c r="AA11" s="20">
        <v>46360.0</v>
      </c>
      <c r="AB11" s="1"/>
      <c r="AC11" s="1"/>
      <c r="AD11" s="1"/>
      <c r="AE11" s="1"/>
      <c r="AF11" s="1"/>
      <c r="AG11" s="1"/>
      <c r="AH11" s="1"/>
      <c r="AI11" s="1"/>
    </row>
    <row r="12" ht="27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3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ht="30.75" customHeight="1">
      <c r="A13" s="1"/>
      <c r="B13" s="24" t="s">
        <v>46</v>
      </c>
      <c r="E13" s="25" t="str">
        <f>IF(COUNT(E14:E22)=9,SUMPRODUCT(E14:E22,'Plan de trabajo'!E12:E20)/SUM('Plan de trabajo'!E12:E20),"")</f>
        <v/>
      </c>
      <c r="F13" s="26">
        <f>IF(COUNT(F14:F22)=0,"",MIN(F14:F22))</f>
        <v>46258</v>
      </c>
      <c r="G13" s="26">
        <f>IF(COUNT(G14:G22)=0,"",MAX(G14:G22))</f>
        <v>46306</v>
      </c>
      <c r="H13" s="27">
        <f>NETWORKDAYS(F13,G13)</f>
        <v>35</v>
      </c>
      <c r="I13" s="27"/>
      <c r="J13" s="27"/>
      <c r="K13" s="27"/>
      <c r="L13" s="24"/>
      <c r="M13" s="28"/>
      <c r="N13" s="28"/>
      <c r="O13" s="28"/>
      <c r="P13" s="29"/>
      <c r="Q13" s="28"/>
      <c r="R13" s="28"/>
      <c r="S13" s="28"/>
      <c r="T13" s="30"/>
      <c r="U13" s="30"/>
      <c r="V13" s="30"/>
      <c r="W13" s="30"/>
      <c r="X13" s="30"/>
      <c r="Y13" s="30"/>
      <c r="Z13" s="30"/>
      <c r="AA13" s="30"/>
      <c r="AB13" s="1"/>
      <c r="AC13" s="1"/>
      <c r="AD13" s="1"/>
      <c r="AE13" s="1"/>
      <c r="AF13" s="1"/>
      <c r="AG13" s="1"/>
      <c r="AH13" s="1"/>
      <c r="AI13" s="1"/>
    </row>
    <row r="14" ht="31.5" customHeight="1">
      <c r="A14" s="1"/>
      <c r="B14" s="31" t="s">
        <v>19</v>
      </c>
      <c r="C14" s="31" t="s">
        <v>20</v>
      </c>
      <c r="D14" s="9" t="s">
        <v>21</v>
      </c>
      <c r="E14" s="32">
        <v>1.0</v>
      </c>
      <c r="F14" s="33">
        <v>46258.0</v>
      </c>
      <c r="G14" s="33">
        <v>46264.0</v>
      </c>
      <c r="H14" s="34">
        <f t="shared" ref="H14:H22" si="1">IF(COUNT(F14:G14)&lt;2,"",NETWORKDAYS(F14,G14))</f>
        <v>5</v>
      </c>
      <c r="I14" s="35" t="s">
        <v>62</v>
      </c>
      <c r="J14" s="34"/>
      <c r="K14" s="34" t="str">
        <f t="shared" ref="K14:K22" si="2">IF(COUNT(E14)=0,"Sin reporte",IF(E14=1,"Completada",IF(G14&lt;46279,"Revisar retraso",IF(E14&gt;0,"En curso","Sin iniciar"))))</f>
        <v>Completada</v>
      </c>
      <c r="L14" s="8"/>
      <c r="M14" s="36"/>
      <c r="N14" s="37"/>
      <c r="O14" s="37"/>
      <c r="P14" s="38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1"/>
      <c r="AC14" s="1"/>
      <c r="AD14" s="1"/>
      <c r="AE14" s="1"/>
      <c r="AF14" s="1"/>
      <c r="AG14" s="1"/>
      <c r="AH14" s="1"/>
      <c r="AI14" s="1"/>
    </row>
    <row r="15" ht="31.5" customHeight="1">
      <c r="A15" s="1"/>
      <c r="B15" s="39" t="s">
        <v>41</v>
      </c>
      <c r="C15" s="39" t="s">
        <v>20</v>
      </c>
      <c r="D15" s="18" t="s">
        <v>67</v>
      </c>
      <c r="E15" s="32">
        <v>1.0</v>
      </c>
      <c r="F15" s="33">
        <v>46265.0</v>
      </c>
      <c r="G15" s="33">
        <v>46271.0</v>
      </c>
      <c r="H15" s="40">
        <f t="shared" si="1"/>
        <v>5</v>
      </c>
      <c r="I15" s="35" t="s">
        <v>62</v>
      </c>
      <c r="J15" s="40"/>
      <c r="K15" s="40" t="str">
        <f t="shared" si="2"/>
        <v>Completada</v>
      </c>
      <c r="L15" s="1"/>
      <c r="M15" s="41"/>
      <c r="N15" s="36"/>
      <c r="O15" s="41"/>
      <c r="P15" s="42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1"/>
      <c r="AC15" s="1"/>
      <c r="AD15" s="1"/>
      <c r="AE15" s="1"/>
      <c r="AF15" s="1"/>
      <c r="AG15" s="1"/>
      <c r="AH15" s="1"/>
      <c r="AI15" s="1"/>
    </row>
    <row r="16" ht="31.5" customHeight="1">
      <c r="A16" s="1"/>
      <c r="B16" s="31" t="s">
        <v>44</v>
      </c>
      <c r="C16" s="31" t="s">
        <v>20</v>
      </c>
      <c r="D16" s="9" t="s">
        <v>45</v>
      </c>
      <c r="E16" s="32">
        <v>1.0</v>
      </c>
      <c r="F16" s="33">
        <v>46272.0</v>
      </c>
      <c r="G16" s="33">
        <v>46285.0</v>
      </c>
      <c r="H16" s="34">
        <f t="shared" si="1"/>
        <v>10</v>
      </c>
      <c r="I16" s="35" t="s">
        <v>62</v>
      </c>
      <c r="J16" s="34"/>
      <c r="K16" s="34" t="str">
        <f t="shared" si="2"/>
        <v>Completada</v>
      </c>
      <c r="L16" s="8"/>
      <c r="M16" s="37"/>
      <c r="N16" s="37"/>
      <c r="O16" s="36"/>
      <c r="P16" s="36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1"/>
      <c r="AC16" s="1"/>
      <c r="AD16" s="1"/>
      <c r="AE16" s="1"/>
      <c r="AF16" s="1"/>
      <c r="AG16" s="1"/>
      <c r="AH16" s="1"/>
      <c r="AI16" s="1"/>
    </row>
    <row r="17" ht="31.5" customHeight="1">
      <c r="A17" s="1"/>
      <c r="B17" s="39" t="s">
        <v>48</v>
      </c>
      <c r="C17" s="39" t="s">
        <v>52</v>
      </c>
      <c r="D17" s="18" t="s">
        <v>53</v>
      </c>
      <c r="E17" s="32">
        <v>0.5</v>
      </c>
      <c r="F17" s="33">
        <v>46279.0</v>
      </c>
      <c r="G17" s="33">
        <v>46292.0</v>
      </c>
      <c r="H17" s="40">
        <f t="shared" si="1"/>
        <v>10</v>
      </c>
      <c r="I17" s="35" t="s">
        <v>62</v>
      </c>
      <c r="J17" s="40"/>
      <c r="K17" s="40" t="str">
        <f t="shared" si="2"/>
        <v>En curso</v>
      </c>
      <c r="L17" s="1"/>
      <c r="M17" s="41"/>
      <c r="N17" s="41"/>
      <c r="O17" s="41"/>
      <c r="P17" s="36"/>
      <c r="Q17" s="36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1"/>
      <c r="AC17" s="1"/>
      <c r="AD17" s="1"/>
      <c r="AE17" s="1"/>
      <c r="AF17" s="1"/>
      <c r="AG17" s="1"/>
      <c r="AH17" s="1"/>
      <c r="AI17" s="1"/>
    </row>
    <row r="18" ht="31.5" customHeight="1">
      <c r="A18" s="1"/>
      <c r="B18" s="31" t="s">
        <v>51</v>
      </c>
      <c r="C18" s="31" t="s">
        <v>20</v>
      </c>
      <c r="D18" s="9" t="s">
        <v>49</v>
      </c>
      <c r="E18" s="32"/>
      <c r="F18" s="33">
        <v>46286.0</v>
      </c>
      <c r="G18" s="33">
        <v>46299.0</v>
      </c>
      <c r="H18" s="34">
        <f t="shared" si="1"/>
        <v>10</v>
      </c>
      <c r="I18" s="35" t="s">
        <v>76</v>
      </c>
      <c r="J18" s="34"/>
      <c r="K18" s="34" t="str">
        <f t="shared" si="2"/>
        <v>Sin reporte</v>
      </c>
      <c r="L18" s="8"/>
      <c r="M18" s="37"/>
      <c r="N18" s="37"/>
      <c r="O18" s="37"/>
      <c r="P18" s="38"/>
      <c r="Q18" s="36"/>
      <c r="R18" s="36"/>
      <c r="S18" s="37"/>
      <c r="T18" s="37"/>
      <c r="U18" s="37"/>
      <c r="V18" s="37"/>
      <c r="W18" s="37"/>
      <c r="X18" s="37"/>
      <c r="Y18" s="37"/>
      <c r="Z18" s="37"/>
      <c r="AA18" s="37"/>
      <c r="AB18" s="1"/>
      <c r="AC18" s="1"/>
      <c r="AD18" s="1"/>
      <c r="AE18" s="1"/>
      <c r="AF18" s="1"/>
      <c r="AG18" s="1"/>
      <c r="AH18" s="1"/>
      <c r="AI18" s="1"/>
    </row>
    <row r="19" ht="31.5" customHeight="1">
      <c r="A19" s="1"/>
      <c r="B19" s="39" t="s">
        <v>55</v>
      </c>
      <c r="C19" s="39" t="s">
        <v>52</v>
      </c>
      <c r="D19" s="18" t="s">
        <v>56</v>
      </c>
      <c r="E19" s="32"/>
      <c r="F19" s="33">
        <v>46293.0</v>
      </c>
      <c r="G19" s="33">
        <v>46306.0</v>
      </c>
      <c r="H19" s="40">
        <f t="shared" si="1"/>
        <v>10</v>
      </c>
      <c r="I19" s="35" t="s">
        <v>62</v>
      </c>
      <c r="J19" s="40"/>
      <c r="K19" s="40" t="str">
        <f t="shared" si="2"/>
        <v>Sin reporte</v>
      </c>
      <c r="L19" s="1"/>
      <c r="M19" s="41"/>
      <c r="N19" s="41"/>
      <c r="O19" s="41"/>
      <c r="P19" s="42"/>
      <c r="Q19" s="41"/>
      <c r="R19" s="36"/>
      <c r="S19" s="36"/>
      <c r="T19" s="41"/>
      <c r="U19" s="41"/>
      <c r="V19" s="41"/>
      <c r="W19" s="41"/>
      <c r="X19" s="41"/>
      <c r="Y19" s="41"/>
      <c r="Z19" s="41"/>
      <c r="AA19" s="41"/>
      <c r="AB19" s="1"/>
      <c r="AC19" s="1"/>
      <c r="AD19" s="1"/>
      <c r="AE19" s="1"/>
      <c r="AF19" s="1"/>
      <c r="AG19" s="1"/>
      <c r="AH19" s="1"/>
      <c r="AI19" s="1"/>
    </row>
    <row r="20" ht="31.5" customHeight="1">
      <c r="A20" s="1"/>
      <c r="B20" s="31" t="s">
        <v>59</v>
      </c>
      <c r="C20" s="31" t="s">
        <v>52</v>
      </c>
      <c r="D20" s="9" t="s">
        <v>60</v>
      </c>
      <c r="E20" s="32"/>
      <c r="F20" s="33">
        <v>46300.0</v>
      </c>
      <c r="G20" s="33">
        <v>46306.0</v>
      </c>
      <c r="H20" s="34">
        <f t="shared" si="1"/>
        <v>5</v>
      </c>
      <c r="I20" s="35" t="s">
        <v>62</v>
      </c>
      <c r="J20" s="34"/>
      <c r="K20" s="34" t="str">
        <f t="shared" si="2"/>
        <v>Sin reporte</v>
      </c>
      <c r="L20" s="8"/>
      <c r="M20" s="37"/>
      <c r="N20" s="37"/>
      <c r="O20" s="37"/>
      <c r="P20" s="38"/>
      <c r="Q20" s="37"/>
      <c r="R20" s="37"/>
      <c r="S20" s="36"/>
      <c r="T20" s="37"/>
      <c r="U20" s="37"/>
      <c r="V20" s="37"/>
      <c r="W20" s="37"/>
      <c r="X20" s="37"/>
      <c r="Y20" s="37"/>
      <c r="Z20" s="37"/>
      <c r="AA20" s="37"/>
      <c r="AB20" s="1"/>
      <c r="AC20" s="1"/>
      <c r="AD20" s="1"/>
      <c r="AE20" s="1"/>
      <c r="AF20" s="1"/>
      <c r="AG20" s="1"/>
      <c r="AH20" s="1"/>
      <c r="AI20" s="1"/>
    </row>
    <row r="21" ht="31.5" customHeight="1">
      <c r="A21" s="1"/>
      <c r="B21" s="39" t="s">
        <v>63</v>
      </c>
      <c r="C21" s="39" t="s">
        <v>64</v>
      </c>
      <c r="D21" s="18" t="s">
        <v>65</v>
      </c>
      <c r="E21" s="32"/>
      <c r="F21" s="33">
        <v>46300.0</v>
      </c>
      <c r="G21" s="33">
        <v>46306.0</v>
      </c>
      <c r="H21" s="40">
        <f t="shared" si="1"/>
        <v>5</v>
      </c>
      <c r="I21" s="35" t="s">
        <v>76</v>
      </c>
      <c r="J21" s="40"/>
      <c r="K21" s="40" t="str">
        <f t="shared" si="2"/>
        <v>Sin reporte</v>
      </c>
      <c r="L21" s="1"/>
      <c r="M21" s="41"/>
      <c r="N21" s="41"/>
      <c r="O21" s="41"/>
      <c r="P21" s="42"/>
      <c r="Q21" s="41"/>
      <c r="R21" s="41"/>
      <c r="S21" s="36"/>
      <c r="T21" s="41"/>
      <c r="U21" s="41"/>
      <c r="V21" s="41"/>
      <c r="W21" s="41"/>
      <c r="X21" s="41"/>
      <c r="Y21" s="41"/>
      <c r="Z21" s="41"/>
      <c r="AA21" s="41"/>
      <c r="AB21" s="1"/>
      <c r="AC21" s="1"/>
      <c r="AD21" s="1"/>
      <c r="AE21" s="1"/>
      <c r="AF21" s="1"/>
      <c r="AG21" s="1"/>
      <c r="AH21" s="1"/>
      <c r="AI21" s="1"/>
    </row>
    <row r="22" ht="31.5" customHeight="1">
      <c r="A22" s="1"/>
      <c r="B22" s="31" t="s">
        <v>68</v>
      </c>
      <c r="C22" s="31" t="s">
        <v>64</v>
      </c>
      <c r="D22" s="9" t="s">
        <v>69</v>
      </c>
      <c r="E22" s="32"/>
      <c r="F22" s="33">
        <v>46300.0</v>
      </c>
      <c r="G22" s="33">
        <v>46306.0</v>
      </c>
      <c r="H22" s="34">
        <f t="shared" si="1"/>
        <v>5</v>
      </c>
      <c r="I22" s="35" t="s">
        <v>76</v>
      </c>
      <c r="J22" s="34"/>
      <c r="K22" s="34" t="str">
        <f t="shared" si="2"/>
        <v>Sin reporte</v>
      </c>
      <c r="L22" s="8"/>
      <c r="M22" s="37"/>
      <c r="N22" s="37"/>
      <c r="O22" s="37"/>
      <c r="P22" s="38"/>
      <c r="Q22" s="43"/>
      <c r="R22" s="37"/>
      <c r="S22" s="36"/>
      <c r="T22" s="37"/>
      <c r="U22" s="37"/>
      <c r="V22" s="37"/>
      <c r="W22" s="37"/>
      <c r="X22" s="37"/>
      <c r="Y22" s="37"/>
      <c r="Z22" s="37"/>
      <c r="AA22" s="37"/>
      <c r="AB22" s="1"/>
      <c r="AC22" s="1"/>
      <c r="AD22" s="1"/>
      <c r="AE22" s="1"/>
      <c r="AF22" s="1"/>
      <c r="AG22" s="1"/>
      <c r="AH22" s="1"/>
      <c r="AI22" s="1"/>
    </row>
    <row r="23" ht="30.75" customHeight="1">
      <c r="A23" s="1"/>
      <c r="B23" s="44" t="s">
        <v>88</v>
      </c>
      <c r="E23" s="45" t="str">
        <f>IF(COUNT(E24:E29)=6,SUMPRODUCT(E24:E29,'Plan de trabajo'!E21:E26)/SUM('Plan de trabajo'!E21:E26),"")</f>
        <v/>
      </c>
      <c r="F23" s="46">
        <f>IF(COUNT(F24:F29)=0,"",MIN(F24:F29))</f>
        <v>46265</v>
      </c>
      <c r="G23" s="46">
        <f>IF(COUNT(G24:G29)=0,"",MAX(G24:G29))</f>
        <v>46306</v>
      </c>
      <c r="H23" s="47">
        <f>NETWORKDAYS(F23,G23)</f>
        <v>30</v>
      </c>
      <c r="I23" s="47"/>
      <c r="J23" s="47"/>
      <c r="K23" s="47"/>
      <c r="L23" s="44"/>
      <c r="M23" s="30"/>
      <c r="N23" s="47"/>
      <c r="O23" s="47"/>
      <c r="P23" s="47"/>
      <c r="Q23" s="47"/>
      <c r="R23" s="47"/>
      <c r="S23" s="47"/>
      <c r="T23" s="30"/>
      <c r="U23" s="30"/>
      <c r="V23" s="30"/>
      <c r="W23" s="30"/>
      <c r="X23" s="30"/>
      <c r="Y23" s="30"/>
      <c r="Z23" s="30"/>
      <c r="AA23" s="30"/>
      <c r="AB23" s="1"/>
      <c r="AC23" s="1"/>
      <c r="AD23" s="1"/>
      <c r="AE23" s="1"/>
      <c r="AF23" s="1"/>
      <c r="AG23" s="1"/>
      <c r="AH23" s="1"/>
      <c r="AI23" s="1"/>
    </row>
    <row r="24" ht="31.5" customHeight="1">
      <c r="A24" s="1"/>
      <c r="B24" s="31" t="s">
        <v>72</v>
      </c>
      <c r="C24" s="31" t="s">
        <v>73</v>
      </c>
      <c r="D24" s="9" t="s">
        <v>98</v>
      </c>
      <c r="E24" s="48">
        <v>1.0</v>
      </c>
      <c r="F24" s="33">
        <v>46265.0</v>
      </c>
      <c r="G24" s="33">
        <v>46271.0</v>
      </c>
      <c r="H24" s="34">
        <f t="shared" ref="H24:H29" si="3">IF(COUNT(F24:G24)&lt;2,"",NETWORKDAYS(F24,G24))</f>
        <v>5</v>
      </c>
      <c r="I24" s="35" t="s">
        <v>76</v>
      </c>
      <c r="J24" s="34"/>
      <c r="K24" s="34" t="str">
        <f t="shared" ref="K24:K29" si="4">IF(COUNT(E24)=0,"Sin reporte",IF(E24=1,"Completada",IF(G24&lt;46279,"Revisar retraso",IF(E24&gt;0,"En curso","Sin iniciar"))))</f>
        <v>Completada</v>
      </c>
      <c r="L24" s="8"/>
      <c r="M24" s="37"/>
      <c r="N24" s="47"/>
      <c r="O24" s="37"/>
      <c r="P24" s="38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1"/>
      <c r="AC24" s="1"/>
      <c r="AD24" s="1"/>
      <c r="AE24" s="1"/>
      <c r="AF24" s="1"/>
      <c r="AG24" s="1"/>
      <c r="AH24" s="1"/>
      <c r="AI24" s="1"/>
    </row>
    <row r="25" ht="31.5" customHeight="1">
      <c r="A25" s="1"/>
      <c r="B25" s="39" t="s">
        <v>77</v>
      </c>
      <c r="C25" s="39" t="s">
        <v>73</v>
      </c>
      <c r="D25" s="18" t="s">
        <v>109</v>
      </c>
      <c r="E25" s="32"/>
      <c r="F25" s="33">
        <v>46293.0</v>
      </c>
      <c r="G25" s="33">
        <v>46299.0</v>
      </c>
      <c r="H25" s="40">
        <f t="shared" si="3"/>
        <v>5</v>
      </c>
      <c r="I25" s="35" t="s">
        <v>62</v>
      </c>
      <c r="J25" s="40"/>
      <c r="K25" s="40" t="str">
        <f t="shared" si="4"/>
        <v>Sin reporte</v>
      </c>
      <c r="L25" s="1"/>
      <c r="M25" s="41"/>
      <c r="N25" s="41"/>
      <c r="O25" s="41"/>
      <c r="P25" s="42"/>
      <c r="Q25" s="41"/>
      <c r="R25" s="47"/>
      <c r="S25" s="41"/>
      <c r="T25" s="41"/>
      <c r="U25" s="41"/>
      <c r="V25" s="41"/>
      <c r="W25" s="41"/>
      <c r="X25" s="41"/>
      <c r="Y25" s="41"/>
      <c r="Z25" s="41"/>
      <c r="AA25" s="41"/>
      <c r="AB25" s="1"/>
      <c r="AC25" s="1"/>
      <c r="AD25" s="1"/>
      <c r="AE25" s="1"/>
      <c r="AF25" s="1"/>
      <c r="AG25" s="1"/>
      <c r="AH25" s="1"/>
      <c r="AI25" s="1"/>
    </row>
    <row r="26" ht="31.5" customHeight="1">
      <c r="A26" s="1"/>
      <c r="B26" s="31" t="s">
        <v>81</v>
      </c>
      <c r="C26" s="31" t="s">
        <v>82</v>
      </c>
      <c r="D26" s="9" t="s">
        <v>83</v>
      </c>
      <c r="E26" s="32"/>
      <c r="F26" s="33">
        <v>46300.0</v>
      </c>
      <c r="G26" s="33">
        <v>46306.0</v>
      </c>
      <c r="H26" s="34">
        <f t="shared" si="3"/>
        <v>5</v>
      </c>
      <c r="I26" s="35" t="s">
        <v>62</v>
      </c>
      <c r="J26" s="34"/>
      <c r="K26" s="34" t="str">
        <f t="shared" si="4"/>
        <v>Sin reporte</v>
      </c>
      <c r="L26" s="8"/>
      <c r="M26" s="37"/>
      <c r="N26" s="37"/>
      <c r="O26" s="37"/>
      <c r="P26" s="38"/>
      <c r="Q26" s="37"/>
      <c r="R26" s="37"/>
      <c r="S26" s="47"/>
      <c r="T26" s="37"/>
      <c r="U26" s="37"/>
      <c r="V26" s="37"/>
      <c r="W26" s="37"/>
      <c r="X26" s="37"/>
      <c r="Y26" s="37"/>
      <c r="Z26" s="37"/>
      <c r="AA26" s="37"/>
      <c r="AB26" s="1"/>
      <c r="AC26" s="1"/>
      <c r="AD26" s="1"/>
      <c r="AE26" s="1"/>
      <c r="AF26" s="1"/>
      <c r="AG26" s="1"/>
      <c r="AH26" s="1"/>
      <c r="AI26" s="1"/>
    </row>
    <row r="27" ht="31.5" customHeight="1">
      <c r="A27" s="1"/>
      <c r="B27" s="39" t="s">
        <v>85</v>
      </c>
      <c r="C27" s="39" t="s">
        <v>82</v>
      </c>
      <c r="D27" s="18" t="s">
        <v>86</v>
      </c>
      <c r="E27" s="32"/>
      <c r="F27" s="33">
        <v>46300.0</v>
      </c>
      <c r="G27" s="33">
        <v>46306.0</v>
      </c>
      <c r="H27" s="40">
        <f t="shared" si="3"/>
        <v>5</v>
      </c>
      <c r="I27" s="35" t="s">
        <v>62</v>
      </c>
      <c r="J27" s="40"/>
      <c r="K27" s="40" t="str">
        <f t="shared" si="4"/>
        <v>Sin reporte</v>
      </c>
      <c r="L27" s="1"/>
      <c r="M27" s="41"/>
      <c r="N27" s="41"/>
      <c r="O27" s="41"/>
      <c r="P27" s="42"/>
      <c r="Q27" s="41"/>
      <c r="R27" s="41"/>
      <c r="S27" s="47"/>
      <c r="T27" s="41"/>
      <c r="U27" s="41"/>
      <c r="V27" s="41"/>
      <c r="W27" s="41"/>
      <c r="X27" s="41"/>
      <c r="Y27" s="41"/>
      <c r="Z27" s="41"/>
      <c r="AA27" s="41"/>
      <c r="AB27" s="1"/>
      <c r="AC27" s="1"/>
      <c r="AD27" s="1"/>
      <c r="AE27" s="1"/>
      <c r="AF27" s="1"/>
      <c r="AG27" s="1"/>
      <c r="AH27" s="1"/>
      <c r="AI27" s="1"/>
    </row>
    <row r="28" ht="31.5" customHeight="1">
      <c r="A28" s="1"/>
      <c r="B28" s="31" t="s">
        <v>89</v>
      </c>
      <c r="C28" s="31" t="s">
        <v>90</v>
      </c>
      <c r="D28" s="9" t="s">
        <v>91</v>
      </c>
      <c r="E28" s="32"/>
      <c r="F28" s="33">
        <v>46300.0</v>
      </c>
      <c r="G28" s="33">
        <v>46306.0</v>
      </c>
      <c r="H28" s="34">
        <f t="shared" si="3"/>
        <v>5</v>
      </c>
      <c r="I28" s="35" t="s">
        <v>62</v>
      </c>
      <c r="J28" s="34"/>
      <c r="K28" s="34" t="str">
        <f t="shared" si="4"/>
        <v>Sin reporte</v>
      </c>
      <c r="L28" s="8"/>
      <c r="M28" s="37"/>
      <c r="N28" s="37"/>
      <c r="O28" s="37"/>
      <c r="P28" s="38"/>
      <c r="Q28" s="37"/>
      <c r="R28" s="37"/>
      <c r="S28" s="47"/>
      <c r="T28" s="37"/>
      <c r="U28" s="37"/>
      <c r="V28" s="37"/>
      <c r="W28" s="37"/>
      <c r="X28" s="37"/>
      <c r="Y28" s="37"/>
      <c r="Z28" s="37"/>
      <c r="AA28" s="37"/>
      <c r="AB28" s="1"/>
      <c r="AC28" s="1"/>
      <c r="AD28" s="1"/>
      <c r="AE28" s="1"/>
      <c r="AF28" s="1"/>
      <c r="AG28" s="1"/>
      <c r="AH28" s="1"/>
      <c r="AI28" s="1"/>
    </row>
    <row r="29" ht="31.5" customHeight="1">
      <c r="A29" s="1"/>
      <c r="B29" s="39" t="s">
        <v>94</v>
      </c>
      <c r="C29" s="39" t="s">
        <v>90</v>
      </c>
      <c r="D29" s="18" t="s">
        <v>95</v>
      </c>
      <c r="E29" s="32"/>
      <c r="F29" s="33">
        <v>46300.0</v>
      </c>
      <c r="G29" s="33">
        <v>46306.0</v>
      </c>
      <c r="H29" s="40">
        <f t="shared" si="3"/>
        <v>5</v>
      </c>
      <c r="I29" s="35" t="s">
        <v>62</v>
      </c>
      <c r="J29" s="40"/>
      <c r="K29" s="40" t="str">
        <f t="shared" si="4"/>
        <v>Sin reporte</v>
      </c>
      <c r="L29" s="1"/>
      <c r="M29" s="41"/>
      <c r="N29" s="41"/>
      <c r="O29" s="41"/>
      <c r="P29" s="42"/>
      <c r="Q29" s="41"/>
      <c r="R29" s="41"/>
      <c r="S29" s="47"/>
      <c r="T29" s="41"/>
      <c r="U29" s="41"/>
      <c r="V29" s="41"/>
      <c r="W29" s="41"/>
      <c r="X29" s="41"/>
      <c r="Y29" s="41"/>
      <c r="Z29" s="41"/>
      <c r="AA29" s="41"/>
      <c r="AB29" s="1"/>
      <c r="AC29" s="1"/>
      <c r="AD29" s="1"/>
      <c r="AE29" s="1"/>
      <c r="AF29" s="1"/>
      <c r="AG29" s="1"/>
      <c r="AH29" s="1"/>
      <c r="AI29" s="1"/>
    </row>
    <row r="30" ht="30.75" customHeight="1">
      <c r="A30" s="1"/>
      <c r="B30" s="49" t="s">
        <v>119</v>
      </c>
      <c r="E30" s="50" t="str">
        <f>IF(COUNT(E31:E37)=5,SUMPRODUCT(E31:E37,'Plan de trabajo'!E27:E31)/SUM('Plan de trabajo'!E27:E31),"")</f>
        <v/>
      </c>
      <c r="F30" s="51">
        <f>IF(COUNT(F31:F37)=0,"",MIN(F31:F37))</f>
        <v>46265</v>
      </c>
      <c r="G30" s="51">
        <f>IF(COUNT(G31:G37)=0,"",MAX(G31:G37))</f>
        <v>46334</v>
      </c>
      <c r="H30" s="52">
        <f>NETWORKDAYS(F30,G30)</f>
        <v>50</v>
      </c>
      <c r="I30" s="52"/>
      <c r="J30" s="52"/>
      <c r="K30" s="52"/>
      <c r="L30" s="49"/>
      <c r="M30" s="30"/>
      <c r="N30" s="53"/>
      <c r="O30" s="53"/>
      <c r="P30" s="54"/>
      <c r="Q30" s="53"/>
      <c r="R30" s="53"/>
      <c r="S30" s="53"/>
      <c r="T30" s="53"/>
      <c r="U30" s="53"/>
      <c r="V30" s="53"/>
      <c r="W30" s="53"/>
      <c r="X30" s="53"/>
      <c r="Y30" s="30"/>
      <c r="Z30" s="30"/>
      <c r="AA30" s="30"/>
      <c r="AB30" s="1"/>
      <c r="AC30" s="1"/>
      <c r="AD30" s="1"/>
      <c r="AE30" s="1"/>
      <c r="AF30" s="1"/>
      <c r="AG30" s="1"/>
      <c r="AH30" s="1"/>
      <c r="AI30" s="1"/>
    </row>
    <row r="31" ht="31.5" customHeight="1">
      <c r="A31" s="1"/>
      <c r="B31" s="39" t="s">
        <v>99</v>
      </c>
      <c r="C31" s="55" t="s">
        <v>100</v>
      </c>
      <c r="D31" s="18" t="s">
        <v>133</v>
      </c>
      <c r="E31" s="48">
        <v>1.0</v>
      </c>
      <c r="F31" s="33">
        <v>46265.0</v>
      </c>
      <c r="G31" s="33">
        <v>46278.0</v>
      </c>
      <c r="H31" s="40">
        <f t="shared" ref="H31:H38" si="5">IF(COUNT(F31:G31)&lt;2,"",NETWORKDAYS(F31,G31))</f>
        <v>10</v>
      </c>
      <c r="I31" s="35" t="s">
        <v>76</v>
      </c>
      <c r="J31" s="40"/>
      <c r="K31" s="40" t="str">
        <f t="shared" ref="K31:K38" si="6">IF(COUNT(E31)=0,"Sin reporte",IF(E31=1,"Completada",IF(G31&lt;46279,"Revisar retraso",IF(E31&gt;0,"En curso","Sin iniciar"))))</f>
        <v>Completada</v>
      </c>
      <c r="L31" s="1"/>
      <c r="M31" s="41"/>
      <c r="N31" s="53"/>
      <c r="O31" s="53"/>
      <c r="P31" s="42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1"/>
      <c r="AC31" s="1"/>
      <c r="AD31" s="1"/>
      <c r="AE31" s="1"/>
      <c r="AF31" s="1"/>
      <c r="AG31" s="1"/>
      <c r="AH31" s="1"/>
      <c r="AI31" s="1"/>
    </row>
    <row r="32" ht="31.5" customHeight="1">
      <c r="A32" s="1"/>
      <c r="B32" s="31" t="s">
        <v>103</v>
      </c>
      <c r="C32" s="56">
        <v>46056.0</v>
      </c>
      <c r="D32" s="9" t="s">
        <v>104</v>
      </c>
      <c r="E32" s="48">
        <v>1.0</v>
      </c>
      <c r="F32" s="33">
        <v>46272.0</v>
      </c>
      <c r="G32" s="33">
        <v>46285.0</v>
      </c>
      <c r="H32" s="34">
        <f t="shared" si="5"/>
        <v>10</v>
      </c>
      <c r="I32" s="35" t="s">
        <v>76</v>
      </c>
      <c r="J32" s="34"/>
      <c r="K32" s="34" t="str">
        <f t="shared" si="6"/>
        <v>Completada</v>
      </c>
      <c r="L32" s="8"/>
      <c r="M32" s="37"/>
      <c r="N32" s="37"/>
      <c r="O32" s="53"/>
      <c r="P32" s="54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1"/>
      <c r="AC32" s="1"/>
      <c r="AD32" s="1"/>
      <c r="AE32" s="1"/>
      <c r="AF32" s="1"/>
      <c r="AG32" s="1"/>
      <c r="AH32" s="1"/>
      <c r="AI32" s="1"/>
    </row>
    <row r="33" ht="31.5" customHeight="1">
      <c r="A33" s="1"/>
      <c r="B33" s="39" t="s">
        <v>107</v>
      </c>
      <c r="C33" s="57">
        <v>46056.0</v>
      </c>
      <c r="D33" s="18" t="s">
        <v>142</v>
      </c>
      <c r="E33" s="48">
        <v>0.5</v>
      </c>
      <c r="F33" s="33">
        <v>46279.0</v>
      </c>
      <c r="G33" s="33">
        <v>46292.0</v>
      </c>
      <c r="H33" s="40">
        <f t="shared" si="5"/>
        <v>10</v>
      </c>
      <c r="I33" s="35" t="s">
        <v>76</v>
      </c>
      <c r="J33" s="40"/>
      <c r="K33" s="40" t="str">
        <f t="shared" si="6"/>
        <v>En curso</v>
      </c>
      <c r="L33" s="1"/>
      <c r="M33" s="41"/>
      <c r="N33" s="41"/>
      <c r="O33" s="41"/>
      <c r="P33" s="54"/>
      <c r="Q33" s="53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1"/>
      <c r="AC33" s="1"/>
      <c r="AD33" s="1"/>
      <c r="AE33" s="1"/>
      <c r="AF33" s="1"/>
      <c r="AG33" s="1"/>
      <c r="AH33" s="1"/>
      <c r="AI33" s="1"/>
    </row>
    <row r="34" ht="31.5" customHeight="1">
      <c r="A34" s="1"/>
      <c r="B34" s="31" t="s">
        <v>107</v>
      </c>
      <c r="C34" s="58" t="s">
        <v>100</v>
      </c>
      <c r="D34" s="9" t="s">
        <v>108</v>
      </c>
      <c r="E34" s="32"/>
      <c r="F34" s="33">
        <v>46307.0</v>
      </c>
      <c r="G34" s="33">
        <v>46320.0</v>
      </c>
      <c r="H34" s="34">
        <f t="shared" si="5"/>
        <v>10</v>
      </c>
      <c r="I34" s="35" t="s">
        <v>76</v>
      </c>
      <c r="J34" s="34"/>
      <c r="K34" s="34" t="str">
        <f t="shared" si="6"/>
        <v>Sin reporte</v>
      </c>
      <c r="L34" s="8"/>
      <c r="M34" s="37"/>
      <c r="N34" s="37"/>
      <c r="O34" s="37"/>
      <c r="P34" s="38"/>
      <c r="Q34" s="37"/>
      <c r="R34" s="37"/>
      <c r="S34" s="37"/>
      <c r="T34" s="53"/>
      <c r="U34" s="53"/>
      <c r="V34" s="37"/>
      <c r="W34" s="37"/>
      <c r="X34" s="37"/>
      <c r="Y34" s="37"/>
      <c r="Z34" s="37"/>
      <c r="AA34" s="37"/>
      <c r="AB34" s="1"/>
      <c r="AC34" s="1"/>
      <c r="AD34" s="1"/>
      <c r="AE34" s="1"/>
      <c r="AF34" s="1"/>
      <c r="AG34" s="1"/>
      <c r="AH34" s="1"/>
      <c r="AI34" s="1"/>
    </row>
    <row r="35" ht="31.5" customHeight="1">
      <c r="A35" s="1"/>
      <c r="B35" s="39" t="s">
        <v>111</v>
      </c>
      <c r="C35" s="55" t="s">
        <v>112</v>
      </c>
      <c r="D35" s="18" t="s">
        <v>113</v>
      </c>
      <c r="E35" s="32"/>
      <c r="F35" s="33">
        <v>46314.0</v>
      </c>
      <c r="G35" s="33">
        <v>46327.0</v>
      </c>
      <c r="H35" s="40">
        <f t="shared" si="5"/>
        <v>10</v>
      </c>
      <c r="I35" s="35" t="s">
        <v>76</v>
      </c>
      <c r="J35" s="40"/>
      <c r="K35" s="40" t="str">
        <f t="shared" si="6"/>
        <v>Sin reporte</v>
      </c>
      <c r="L35" s="1"/>
      <c r="M35" s="41"/>
      <c r="N35" s="41"/>
      <c r="O35" s="41"/>
      <c r="P35" s="42"/>
      <c r="Q35" s="41"/>
      <c r="R35" s="41"/>
      <c r="S35" s="41"/>
      <c r="T35" s="41"/>
      <c r="U35" s="53"/>
      <c r="V35" s="53"/>
      <c r="W35" s="41"/>
      <c r="X35" s="41"/>
      <c r="Y35" s="41"/>
      <c r="Z35" s="41"/>
      <c r="AA35" s="41"/>
      <c r="AB35" s="1"/>
      <c r="AC35" s="1"/>
      <c r="AD35" s="1"/>
      <c r="AE35" s="1"/>
      <c r="AF35" s="1"/>
      <c r="AG35" s="1"/>
      <c r="AH35" s="1"/>
      <c r="AI35" s="1"/>
    </row>
    <row r="36" ht="31.5" customHeight="1">
      <c r="A36" s="59"/>
      <c r="B36" s="60" t="s">
        <v>107</v>
      </c>
      <c r="C36" s="61">
        <v>46056.0</v>
      </c>
      <c r="D36" s="62" t="s">
        <v>152</v>
      </c>
      <c r="E36" s="63"/>
      <c r="F36" s="64">
        <v>46321.0</v>
      </c>
      <c r="G36" s="64">
        <v>46327.0</v>
      </c>
      <c r="H36" s="65">
        <f t="shared" si="5"/>
        <v>5</v>
      </c>
      <c r="I36" s="66" t="s">
        <v>76</v>
      </c>
      <c r="J36" s="67"/>
      <c r="K36" s="65" t="str">
        <f t="shared" si="6"/>
        <v>Sin reporte</v>
      </c>
      <c r="L36" s="67"/>
      <c r="M36" s="68"/>
      <c r="N36" s="68"/>
      <c r="O36" s="68"/>
      <c r="P36" s="69"/>
      <c r="Q36" s="68"/>
      <c r="R36" s="68"/>
      <c r="S36" s="68"/>
      <c r="T36" s="68"/>
      <c r="U36" s="68"/>
      <c r="V36" s="53"/>
      <c r="W36" s="68"/>
      <c r="X36" s="68"/>
      <c r="Y36" s="68"/>
      <c r="Z36" s="68"/>
      <c r="AA36" s="68"/>
      <c r="AB36" s="59"/>
      <c r="AC36" s="59"/>
      <c r="AD36" s="59"/>
      <c r="AE36" s="59"/>
      <c r="AF36" s="59"/>
      <c r="AG36" s="59"/>
      <c r="AH36" s="59"/>
      <c r="AI36" s="59"/>
    </row>
    <row r="37" ht="31.5" customHeight="1">
      <c r="A37" s="1"/>
      <c r="B37" s="39" t="s">
        <v>115</v>
      </c>
      <c r="C37" s="55" t="s">
        <v>116</v>
      </c>
      <c r="D37" s="18" t="s">
        <v>117</v>
      </c>
      <c r="E37" s="32"/>
      <c r="F37" s="33">
        <v>46328.0</v>
      </c>
      <c r="G37" s="33">
        <v>46334.0</v>
      </c>
      <c r="H37" s="40">
        <f t="shared" si="5"/>
        <v>5</v>
      </c>
      <c r="I37" s="35" t="s">
        <v>62</v>
      </c>
      <c r="J37" s="40"/>
      <c r="K37" s="40" t="str">
        <f t="shared" si="6"/>
        <v>Sin reporte</v>
      </c>
      <c r="L37" s="1"/>
      <c r="M37" s="41"/>
      <c r="N37" s="41"/>
      <c r="O37" s="41"/>
      <c r="P37" s="42"/>
      <c r="Q37" s="41"/>
      <c r="R37" s="41"/>
      <c r="S37" s="41"/>
      <c r="T37" s="41"/>
      <c r="U37" s="41"/>
      <c r="V37" s="41"/>
      <c r="W37" s="53"/>
      <c r="X37" s="41"/>
      <c r="Y37" s="41"/>
      <c r="Z37" s="41"/>
      <c r="AA37" s="41"/>
      <c r="AB37" s="1"/>
      <c r="AC37" s="1"/>
      <c r="AD37" s="1"/>
      <c r="AE37" s="1"/>
      <c r="AF37" s="1"/>
      <c r="AG37" s="1"/>
      <c r="AH37" s="1"/>
      <c r="AI37" s="1"/>
    </row>
    <row r="38" ht="31.5" customHeight="1">
      <c r="A38" s="59"/>
      <c r="B38" s="60" t="s">
        <v>107</v>
      </c>
      <c r="C38" s="61">
        <v>46084.0</v>
      </c>
      <c r="D38" s="62" t="s">
        <v>163</v>
      </c>
      <c r="E38" s="63"/>
      <c r="F38" s="64">
        <v>46328.0</v>
      </c>
      <c r="G38" s="64">
        <v>46341.0</v>
      </c>
      <c r="H38" s="65">
        <f t="shared" si="5"/>
        <v>10</v>
      </c>
      <c r="I38" s="66" t="s">
        <v>76</v>
      </c>
      <c r="J38" s="67"/>
      <c r="K38" s="65" t="str">
        <f t="shared" si="6"/>
        <v>Sin reporte</v>
      </c>
      <c r="L38" s="67"/>
      <c r="M38" s="68"/>
      <c r="N38" s="68"/>
      <c r="O38" s="68"/>
      <c r="P38" s="69"/>
      <c r="Q38" s="68"/>
      <c r="R38" s="68"/>
      <c r="S38" s="68"/>
      <c r="T38" s="68"/>
      <c r="U38" s="68"/>
      <c r="V38" s="68"/>
      <c r="W38" s="53"/>
      <c r="X38" s="53"/>
      <c r="Y38" s="68"/>
      <c r="Z38" s="68"/>
      <c r="AA38" s="68"/>
      <c r="AB38" s="59"/>
      <c r="AC38" s="59"/>
      <c r="AD38" s="59"/>
      <c r="AE38" s="59"/>
      <c r="AF38" s="59"/>
      <c r="AG38" s="59"/>
      <c r="AH38" s="59"/>
      <c r="AI38" s="59"/>
    </row>
    <row r="39" ht="30.75" customHeight="1">
      <c r="A39" s="1"/>
      <c r="B39" s="70" t="s">
        <v>171</v>
      </c>
      <c r="E39" s="71" t="str">
        <f>IF(COUNT(E40:E43)=3,SUMPRODUCT(E40:E43,'Plan de trabajo'!E32:E34)/SUM('Plan de trabajo'!E32:E34),"")</f>
        <v/>
      </c>
      <c r="F39" s="72">
        <f>IF(COUNT(F40:F43)=0,"",MIN(F40:F43))</f>
        <v>46307</v>
      </c>
      <c r="G39" s="72">
        <f>IF(COUNT(G40:G43)=0,"",MAX(G40:G43))</f>
        <v>46334</v>
      </c>
      <c r="H39" s="73">
        <f>NETWORKDAYS(F39,G39)</f>
        <v>20</v>
      </c>
      <c r="I39" s="73"/>
      <c r="J39" s="73"/>
      <c r="K39" s="73"/>
      <c r="L39" s="70"/>
      <c r="M39" s="30"/>
      <c r="N39" s="30"/>
      <c r="O39" s="30"/>
      <c r="P39" s="74"/>
      <c r="Q39" s="30"/>
      <c r="R39" s="30"/>
      <c r="S39" s="30"/>
      <c r="T39" s="75"/>
      <c r="U39" s="75"/>
      <c r="V39" s="75"/>
      <c r="W39" s="75"/>
      <c r="X39" s="30"/>
      <c r="Y39" s="30"/>
      <c r="Z39" s="30"/>
      <c r="AA39" s="30"/>
      <c r="AB39" s="1"/>
      <c r="AC39" s="1"/>
      <c r="AD39" s="1"/>
      <c r="AE39" s="1"/>
      <c r="AF39" s="1"/>
      <c r="AG39" s="1"/>
      <c r="AH39" s="1"/>
      <c r="AI39" s="1"/>
    </row>
    <row r="40" ht="31.5" customHeight="1">
      <c r="A40" s="1"/>
      <c r="B40" s="39" t="s">
        <v>120</v>
      </c>
      <c r="C40" s="39" t="s">
        <v>121</v>
      </c>
      <c r="D40" s="18" t="s">
        <v>122</v>
      </c>
      <c r="E40" s="32"/>
      <c r="F40" s="33">
        <v>46307.0</v>
      </c>
      <c r="G40" s="33">
        <v>46313.0</v>
      </c>
      <c r="H40" s="40">
        <f t="shared" ref="H40:H43" si="7">IF(COUNT(F40:G40)&lt;2,"",NETWORKDAYS(F40,G40))</f>
        <v>5</v>
      </c>
      <c r="I40" s="35" t="s">
        <v>62</v>
      </c>
      <c r="J40" s="40"/>
      <c r="K40" s="40" t="str">
        <f t="shared" ref="K40:K43" si="8">IF(COUNT(E40)=0,"Sin reporte",IF(E40=1,"Completada",IF(G40&lt;46279,"Revisar retraso",IF(E40&gt;0,"En curso","Sin iniciar"))))</f>
        <v>Sin reporte</v>
      </c>
      <c r="L40" s="1"/>
      <c r="M40" s="41"/>
      <c r="N40" s="41"/>
      <c r="O40" s="41"/>
      <c r="P40" s="42"/>
      <c r="Q40" s="41"/>
      <c r="R40" s="41"/>
      <c r="S40" s="41"/>
      <c r="T40" s="75"/>
      <c r="U40" s="41"/>
      <c r="V40" s="41"/>
      <c r="W40" s="41"/>
      <c r="X40" s="41"/>
      <c r="Y40" s="41"/>
      <c r="Z40" s="41"/>
      <c r="AA40" s="41"/>
      <c r="AB40" s="1"/>
      <c r="AC40" s="1"/>
      <c r="AD40" s="1"/>
      <c r="AE40" s="1"/>
      <c r="AF40" s="1"/>
      <c r="AG40" s="1"/>
      <c r="AH40" s="1"/>
      <c r="AI40" s="1"/>
    </row>
    <row r="41" ht="31.5" customHeight="1">
      <c r="A41" s="1"/>
      <c r="B41" s="31" t="s">
        <v>120</v>
      </c>
      <c r="C41" s="31" t="s">
        <v>121</v>
      </c>
      <c r="D41" s="9" t="s">
        <v>186</v>
      </c>
      <c r="E41" s="32"/>
      <c r="F41" s="33">
        <v>46314.0</v>
      </c>
      <c r="G41" s="33">
        <v>46320.0</v>
      </c>
      <c r="H41" s="34">
        <f t="shared" si="7"/>
        <v>5</v>
      </c>
      <c r="I41" s="35" t="s">
        <v>62</v>
      </c>
      <c r="J41" s="34"/>
      <c r="K41" s="34" t="str">
        <f t="shared" si="8"/>
        <v>Sin reporte</v>
      </c>
      <c r="L41" s="8"/>
      <c r="M41" s="37"/>
      <c r="N41" s="37"/>
      <c r="O41" s="37"/>
      <c r="P41" s="38"/>
      <c r="Q41" s="37"/>
      <c r="R41" s="37"/>
      <c r="S41" s="37"/>
      <c r="T41" s="37"/>
      <c r="U41" s="75"/>
      <c r="V41" s="37"/>
      <c r="W41" s="37"/>
      <c r="X41" s="37"/>
      <c r="Y41" s="37"/>
      <c r="Z41" s="37"/>
      <c r="AA41" s="37"/>
      <c r="AB41" s="1"/>
      <c r="AC41" s="1"/>
      <c r="AD41" s="1"/>
      <c r="AE41" s="1"/>
      <c r="AF41" s="1"/>
      <c r="AG41" s="1"/>
      <c r="AH41" s="1"/>
      <c r="AI41" s="1"/>
    </row>
    <row r="42" ht="31.5" customHeight="1">
      <c r="A42" s="1"/>
      <c r="B42" s="39" t="s">
        <v>125</v>
      </c>
      <c r="C42" s="39" t="s">
        <v>126</v>
      </c>
      <c r="D42" s="18" t="s">
        <v>127</v>
      </c>
      <c r="E42" s="32"/>
      <c r="F42" s="33">
        <v>46314.0</v>
      </c>
      <c r="G42" s="33">
        <v>46327.0</v>
      </c>
      <c r="H42" s="40">
        <f t="shared" si="7"/>
        <v>10</v>
      </c>
      <c r="I42" s="35" t="s">
        <v>62</v>
      </c>
      <c r="J42" s="40"/>
      <c r="K42" s="40" t="str">
        <f t="shared" si="8"/>
        <v>Sin reporte</v>
      </c>
      <c r="L42" s="1"/>
      <c r="M42" s="41"/>
      <c r="N42" s="41"/>
      <c r="O42" s="41"/>
      <c r="P42" s="42"/>
      <c r="Q42" s="41"/>
      <c r="R42" s="41"/>
      <c r="S42" s="41"/>
      <c r="T42" s="41"/>
      <c r="U42" s="75"/>
      <c r="V42" s="75"/>
      <c r="W42" s="41"/>
      <c r="X42" s="41"/>
      <c r="Y42" s="41"/>
      <c r="Z42" s="41"/>
      <c r="AA42" s="41"/>
      <c r="AB42" s="1"/>
      <c r="AC42" s="1"/>
      <c r="AD42" s="1"/>
      <c r="AE42" s="1"/>
      <c r="AF42" s="1"/>
      <c r="AG42" s="1"/>
      <c r="AH42" s="1"/>
      <c r="AI42" s="1"/>
    </row>
    <row r="43" ht="31.5" customHeight="1">
      <c r="A43" s="1"/>
      <c r="B43" s="31" t="s">
        <v>130</v>
      </c>
      <c r="C43" s="31" t="s">
        <v>131</v>
      </c>
      <c r="D43" s="9" t="s">
        <v>132</v>
      </c>
      <c r="E43" s="32"/>
      <c r="F43" s="33">
        <v>46321.0</v>
      </c>
      <c r="G43" s="33">
        <v>46334.0</v>
      </c>
      <c r="H43" s="34">
        <f t="shared" si="7"/>
        <v>10</v>
      </c>
      <c r="I43" s="35" t="s">
        <v>62</v>
      </c>
      <c r="J43" s="34"/>
      <c r="K43" s="34" t="str">
        <f t="shared" si="8"/>
        <v>Sin reporte</v>
      </c>
      <c r="L43" s="8"/>
      <c r="M43" s="37"/>
      <c r="N43" s="37"/>
      <c r="O43" s="37"/>
      <c r="P43" s="38"/>
      <c r="Q43" s="37"/>
      <c r="R43" s="37"/>
      <c r="S43" s="37"/>
      <c r="T43" s="37"/>
      <c r="U43" s="37"/>
      <c r="V43" s="75"/>
      <c r="W43" s="75"/>
      <c r="X43" s="37"/>
      <c r="Y43" s="37"/>
      <c r="Z43" s="37"/>
      <c r="AA43" s="37"/>
      <c r="AB43" s="1"/>
      <c r="AC43" s="1"/>
      <c r="AD43" s="1"/>
      <c r="AE43" s="1"/>
      <c r="AF43" s="1"/>
      <c r="AG43" s="1"/>
      <c r="AH43" s="1"/>
      <c r="AI43" s="1"/>
    </row>
    <row r="44" ht="30.75" customHeight="1">
      <c r="A44" s="1"/>
      <c r="B44" s="76" t="s">
        <v>195</v>
      </c>
      <c r="E44" s="77" t="str">
        <f>IF(COUNT(E45:E50)=5,SUMPRODUCT(E45:E50,'Plan de trabajo'!E35:E39)/SUM('Plan de trabajo'!E35:E39),"")</f>
        <v/>
      </c>
      <c r="F44" s="78">
        <f>IF(COUNT(F45:F50)=0,"",MIN(F45:F50))</f>
        <v>46272</v>
      </c>
      <c r="G44" s="78">
        <f>IF(COUNT(G45:G50)=0,"",MAX(G45:G50))</f>
        <v>46306</v>
      </c>
      <c r="H44" s="79">
        <f>NETWORKDAYS(F44,G44)</f>
        <v>25</v>
      </c>
      <c r="I44" s="79"/>
      <c r="J44" s="79"/>
      <c r="K44" s="79"/>
      <c r="L44" s="76"/>
      <c r="M44" s="30"/>
      <c r="N44" s="30"/>
      <c r="O44" s="79"/>
      <c r="P44" s="80"/>
      <c r="Q44" s="79"/>
      <c r="R44" s="79"/>
      <c r="S44" s="79"/>
      <c r="T44" s="79"/>
      <c r="U44" s="79"/>
      <c r="V44" s="79"/>
      <c r="W44" s="79"/>
      <c r="X44" s="79"/>
      <c r="Y44" s="79"/>
      <c r="Z44" s="30"/>
      <c r="AA44" s="30"/>
      <c r="AB44" s="1"/>
      <c r="AC44" s="1"/>
      <c r="AD44" s="1"/>
      <c r="AE44" s="1"/>
      <c r="AF44" s="1"/>
      <c r="AG44" s="1"/>
      <c r="AH44" s="1"/>
      <c r="AI44" s="1"/>
    </row>
    <row r="45" ht="31.5" customHeight="1">
      <c r="A45" s="1"/>
      <c r="B45" s="39" t="s">
        <v>135</v>
      </c>
      <c r="C45" s="55" t="s">
        <v>136</v>
      </c>
      <c r="D45" s="18" t="s">
        <v>137</v>
      </c>
      <c r="E45" s="48">
        <v>1.0</v>
      </c>
      <c r="F45" s="33">
        <v>46272.0</v>
      </c>
      <c r="G45" s="33">
        <v>46285.0</v>
      </c>
      <c r="H45" s="40">
        <f t="shared" ref="H45:H52" si="9">IF(COUNT(F45:G45)&lt;2,"",NETWORKDAYS(F45,G45))</f>
        <v>10</v>
      </c>
      <c r="I45" s="35" t="s">
        <v>76</v>
      </c>
      <c r="J45" s="40"/>
      <c r="K45" s="40" t="str">
        <f t="shared" ref="K45:K52" si="10">IF(COUNT(E45)=0,"Sin reporte",IF(E45=1,"Completada",IF(G45&lt;46279,"Revisar retraso",IF(E45&gt;0,"En curso","Sin iniciar"))))</f>
        <v>Completada</v>
      </c>
      <c r="L45" s="1"/>
      <c r="M45" s="41"/>
      <c r="N45" s="41"/>
      <c r="O45" s="79"/>
      <c r="P45" s="80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1"/>
      <c r="AC45" s="1"/>
      <c r="AD45" s="1"/>
      <c r="AE45" s="1"/>
      <c r="AF45" s="1"/>
      <c r="AG45" s="1"/>
      <c r="AH45" s="1"/>
      <c r="AI45" s="1"/>
    </row>
    <row r="46" ht="31.5" customHeight="1">
      <c r="A46" s="1"/>
      <c r="B46" s="31" t="s">
        <v>147</v>
      </c>
      <c r="C46" s="58" t="s">
        <v>148</v>
      </c>
      <c r="D46" s="9" t="s">
        <v>149</v>
      </c>
      <c r="E46" s="48">
        <v>0.5</v>
      </c>
      <c r="F46" s="33">
        <v>46279.0</v>
      </c>
      <c r="G46" s="33">
        <v>46292.0</v>
      </c>
      <c r="H46" s="34">
        <f t="shared" si="9"/>
        <v>10</v>
      </c>
      <c r="I46" s="35" t="s">
        <v>76</v>
      </c>
      <c r="J46" s="34"/>
      <c r="K46" s="34" t="str">
        <f t="shared" si="10"/>
        <v>En curso</v>
      </c>
      <c r="L46" s="8"/>
      <c r="M46" s="37"/>
      <c r="N46" s="37"/>
      <c r="O46" s="37"/>
      <c r="P46" s="80"/>
      <c r="Q46" s="79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1"/>
      <c r="AC46" s="1"/>
      <c r="AD46" s="1"/>
      <c r="AE46" s="1"/>
      <c r="AF46" s="1"/>
      <c r="AG46" s="1"/>
      <c r="AH46" s="1"/>
      <c r="AI46" s="1"/>
    </row>
    <row r="47" ht="31.5" customHeight="1">
      <c r="A47" s="1"/>
      <c r="B47" s="39" t="s">
        <v>139</v>
      </c>
      <c r="C47" s="55" t="s">
        <v>136</v>
      </c>
      <c r="D47" s="18" t="s">
        <v>140</v>
      </c>
      <c r="E47" s="32"/>
      <c r="F47" s="33">
        <v>46286.0</v>
      </c>
      <c r="G47" s="33">
        <v>46299.0</v>
      </c>
      <c r="H47" s="40">
        <f t="shared" si="9"/>
        <v>10</v>
      </c>
      <c r="I47" s="35" t="s">
        <v>76</v>
      </c>
      <c r="J47" s="40"/>
      <c r="K47" s="40" t="str">
        <f t="shared" si="10"/>
        <v>Sin reporte</v>
      </c>
      <c r="L47" s="1"/>
      <c r="M47" s="41"/>
      <c r="N47" s="41"/>
      <c r="O47" s="41"/>
      <c r="P47" s="42"/>
      <c r="Q47" s="79"/>
      <c r="R47" s="79"/>
      <c r="S47" s="41"/>
      <c r="T47" s="41"/>
      <c r="U47" s="41"/>
      <c r="V47" s="41"/>
      <c r="W47" s="41"/>
      <c r="X47" s="41"/>
      <c r="Y47" s="41"/>
      <c r="Z47" s="41"/>
      <c r="AA47" s="41"/>
      <c r="AB47" s="1"/>
      <c r="AC47" s="1"/>
      <c r="AD47" s="1"/>
      <c r="AE47" s="1"/>
      <c r="AF47" s="1"/>
      <c r="AG47" s="1"/>
      <c r="AH47" s="1"/>
      <c r="AI47" s="1"/>
    </row>
    <row r="48" ht="31.5" customHeight="1">
      <c r="A48" s="1"/>
      <c r="B48" s="31" t="s">
        <v>143</v>
      </c>
      <c r="C48" s="58" t="s">
        <v>136</v>
      </c>
      <c r="D48" s="9" t="s">
        <v>144</v>
      </c>
      <c r="E48" s="32"/>
      <c r="F48" s="33">
        <v>46293.0</v>
      </c>
      <c r="G48" s="33">
        <v>46299.0</v>
      </c>
      <c r="H48" s="34">
        <f t="shared" si="9"/>
        <v>5</v>
      </c>
      <c r="I48" s="35" t="s">
        <v>62</v>
      </c>
      <c r="J48" s="34"/>
      <c r="K48" s="34" t="str">
        <f t="shared" si="10"/>
        <v>Sin reporte</v>
      </c>
      <c r="L48" s="8"/>
      <c r="M48" s="37"/>
      <c r="N48" s="37"/>
      <c r="O48" s="37"/>
      <c r="P48" s="38"/>
      <c r="Q48" s="37"/>
      <c r="R48" s="79"/>
      <c r="S48" s="37"/>
      <c r="T48" s="37"/>
      <c r="U48" s="37"/>
      <c r="V48" s="37"/>
      <c r="W48" s="37"/>
      <c r="X48" s="37"/>
      <c r="Y48" s="37"/>
      <c r="Z48" s="37"/>
      <c r="AA48" s="37"/>
      <c r="AB48" s="1"/>
      <c r="AC48" s="1"/>
      <c r="AD48" s="1"/>
      <c r="AE48" s="1"/>
      <c r="AF48" s="1"/>
      <c r="AG48" s="1"/>
      <c r="AH48" s="1"/>
      <c r="AI48" s="1"/>
    </row>
    <row r="49" ht="31.5" customHeight="1">
      <c r="A49" s="1"/>
      <c r="B49" s="39" t="s">
        <v>147</v>
      </c>
      <c r="C49" s="57">
        <v>46027.0</v>
      </c>
      <c r="D49" s="18" t="s">
        <v>216</v>
      </c>
      <c r="E49" s="32"/>
      <c r="F49" s="33">
        <v>46293.0</v>
      </c>
      <c r="G49" s="33">
        <v>46306.0</v>
      </c>
      <c r="H49" s="40">
        <f t="shared" si="9"/>
        <v>10</v>
      </c>
      <c r="I49" s="35" t="s">
        <v>76</v>
      </c>
      <c r="J49" s="40"/>
      <c r="K49" s="40" t="str">
        <f t="shared" si="10"/>
        <v>Sin reporte</v>
      </c>
      <c r="L49" s="1"/>
      <c r="M49" s="41"/>
      <c r="N49" s="41"/>
      <c r="O49" s="41"/>
      <c r="P49" s="42"/>
      <c r="Q49" s="41"/>
      <c r="R49" s="79"/>
      <c r="S49" s="79"/>
      <c r="T49" s="41"/>
      <c r="U49" s="41"/>
      <c r="V49" s="41"/>
      <c r="W49" s="41"/>
      <c r="X49" s="41"/>
      <c r="Y49" s="41"/>
      <c r="Z49" s="41"/>
      <c r="AA49" s="41"/>
      <c r="AB49" s="1"/>
      <c r="AC49" s="1"/>
      <c r="AD49" s="1"/>
      <c r="AE49" s="1"/>
      <c r="AF49" s="1"/>
      <c r="AG49" s="1"/>
      <c r="AH49" s="1"/>
      <c r="AI49" s="1"/>
    </row>
    <row r="50" ht="31.5" customHeight="1">
      <c r="A50" s="1"/>
      <c r="B50" s="31" t="s">
        <v>153</v>
      </c>
      <c r="C50" s="58" t="s">
        <v>154</v>
      </c>
      <c r="D50" s="9" t="s">
        <v>155</v>
      </c>
      <c r="E50" s="32"/>
      <c r="F50" s="33">
        <v>46300.0</v>
      </c>
      <c r="G50" s="33">
        <v>46306.0</v>
      </c>
      <c r="H50" s="34">
        <f t="shared" si="9"/>
        <v>5</v>
      </c>
      <c r="I50" s="35" t="s">
        <v>62</v>
      </c>
      <c r="J50" s="34"/>
      <c r="K50" s="34" t="str">
        <f t="shared" si="10"/>
        <v>Sin reporte</v>
      </c>
      <c r="L50" s="8"/>
      <c r="M50" s="37"/>
      <c r="N50" s="37"/>
      <c r="O50" s="37"/>
      <c r="P50" s="38"/>
      <c r="Q50" s="37"/>
      <c r="R50" s="37"/>
      <c r="S50" s="79"/>
      <c r="T50" s="37"/>
      <c r="U50" s="37"/>
      <c r="V50" s="37"/>
      <c r="W50" s="37"/>
      <c r="X50" s="37"/>
      <c r="Y50" s="37"/>
      <c r="Z50" s="37"/>
      <c r="AA50" s="37"/>
      <c r="AB50" s="1"/>
      <c r="AC50" s="1"/>
      <c r="AD50" s="1"/>
      <c r="AE50" s="1"/>
      <c r="AF50" s="1"/>
      <c r="AG50" s="1"/>
      <c r="AH50" s="1"/>
      <c r="AI50" s="1"/>
    </row>
    <row r="51" ht="31.5" customHeight="1">
      <c r="A51" s="1"/>
      <c r="B51" s="39" t="s">
        <v>147</v>
      </c>
      <c r="C51" s="55" t="s">
        <v>148</v>
      </c>
      <c r="D51" s="18" t="s">
        <v>221</v>
      </c>
      <c r="E51" s="32"/>
      <c r="F51" s="33">
        <v>46307.0</v>
      </c>
      <c r="G51" s="33">
        <v>46320.0</v>
      </c>
      <c r="H51" s="40">
        <f t="shared" si="9"/>
        <v>10</v>
      </c>
      <c r="I51" s="35" t="s">
        <v>76</v>
      </c>
      <c r="J51" s="40"/>
      <c r="K51" s="40" t="str">
        <f t="shared" si="10"/>
        <v>Sin reporte</v>
      </c>
      <c r="L51" s="1"/>
      <c r="M51" s="41"/>
      <c r="N51" s="41"/>
      <c r="O51" s="41"/>
      <c r="P51" s="42"/>
      <c r="Q51" s="41"/>
      <c r="R51" s="41"/>
      <c r="S51" s="41"/>
      <c r="T51" s="79"/>
      <c r="U51" s="79"/>
      <c r="V51" s="41"/>
      <c r="W51" s="41"/>
      <c r="X51" s="41"/>
      <c r="Y51" s="41"/>
      <c r="Z51" s="41"/>
      <c r="AA51" s="41"/>
      <c r="AB51" s="1"/>
      <c r="AC51" s="1"/>
      <c r="AD51" s="1"/>
      <c r="AE51" s="1"/>
      <c r="AF51" s="1"/>
      <c r="AG51" s="1"/>
      <c r="AH51" s="1"/>
      <c r="AI51" s="1"/>
    </row>
    <row r="52" ht="31.5" customHeight="1">
      <c r="A52" s="1"/>
      <c r="B52" s="31" t="s">
        <v>153</v>
      </c>
      <c r="C52" s="58" t="s">
        <v>154</v>
      </c>
      <c r="D52" s="9" t="s">
        <v>222</v>
      </c>
      <c r="E52" s="32"/>
      <c r="F52" s="33">
        <v>46335.0</v>
      </c>
      <c r="G52" s="33">
        <v>46348.0</v>
      </c>
      <c r="H52" s="34">
        <f t="shared" si="9"/>
        <v>10</v>
      </c>
      <c r="I52" s="35" t="s">
        <v>62</v>
      </c>
      <c r="J52" s="34"/>
      <c r="K52" s="34" t="str">
        <f t="shared" si="10"/>
        <v>Sin reporte</v>
      </c>
      <c r="L52" s="8"/>
      <c r="M52" s="37"/>
      <c r="N52" s="37"/>
      <c r="O52" s="37"/>
      <c r="P52" s="38"/>
      <c r="Q52" s="37"/>
      <c r="R52" s="37"/>
      <c r="S52" s="37"/>
      <c r="T52" s="37"/>
      <c r="U52" s="37"/>
      <c r="V52" s="37"/>
      <c r="W52" s="37"/>
      <c r="X52" s="79"/>
      <c r="Y52" s="79"/>
      <c r="Z52" s="37"/>
      <c r="AA52" s="37"/>
      <c r="AB52" s="1"/>
      <c r="AC52" s="1"/>
      <c r="AD52" s="1"/>
      <c r="AE52" s="1"/>
      <c r="AF52" s="1"/>
      <c r="AG52" s="1"/>
      <c r="AH52" s="1"/>
      <c r="AI52" s="1"/>
    </row>
    <row r="53" ht="30.75" customHeight="1">
      <c r="A53" s="1"/>
      <c r="B53" s="81" t="s">
        <v>226</v>
      </c>
      <c r="E53" s="82" t="str">
        <f>IF(COUNT(E54:E62)=9,SUMPRODUCT(E54:E62,'Plan de trabajo'!E40:E48)/SUM('Plan de trabajo'!E40:E48),"")</f>
        <v/>
      </c>
      <c r="F53" s="83">
        <f>IF(COUNT(F54:F62)=0,"",MIN(F54:F62))</f>
        <v>46307</v>
      </c>
      <c r="G53" s="83">
        <f>IF(COUNT(G54:G62)=0,"",MAX(G54:G62))</f>
        <v>46341</v>
      </c>
      <c r="H53" s="84">
        <f>NETWORKDAYS(F53,G53)</f>
        <v>25</v>
      </c>
      <c r="I53" s="84"/>
      <c r="J53" s="84"/>
      <c r="K53" s="84"/>
      <c r="L53" s="81"/>
      <c r="M53" s="30"/>
      <c r="N53" s="30"/>
      <c r="O53" s="30"/>
      <c r="P53" s="74"/>
      <c r="Q53" s="30"/>
      <c r="R53" s="30"/>
      <c r="S53" s="30"/>
      <c r="T53" s="84"/>
      <c r="U53" s="84"/>
      <c r="V53" s="84"/>
      <c r="W53" s="84"/>
      <c r="X53" s="84"/>
      <c r="Y53" s="30"/>
      <c r="Z53" s="30"/>
      <c r="AA53" s="30"/>
      <c r="AB53" s="1"/>
      <c r="AC53" s="1"/>
      <c r="AD53" s="1"/>
      <c r="AE53" s="1"/>
      <c r="AF53" s="1"/>
      <c r="AG53" s="1"/>
      <c r="AH53" s="1"/>
      <c r="AI53" s="1"/>
    </row>
    <row r="54" ht="31.5" customHeight="1">
      <c r="A54" s="1"/>
      <c r="B54" s="39" t="s">
        <v>158</v>
      </c>
      <c r="C54" s="39" t="s">
        <v>159</v>
      </c>
      <c r="D54" s="18" t="s">
        <v>160</v>
      </c>
      <c r="E54" s="32"/>
      <c r="F54" s="33">
        <v>46307.0</v>
      </c>
      <c r="G54" s="33">
        <v>46313.0</v>
      </c>
      <c r="H54" s="40">
        <f t="shared" ref="H54:H62" si="11">IF(COUNT(F54:G54)&lt;2,"",NETWORKDAYS(F54,G54))</f>
        <v>5</v>
      </c>
      <c r="I54" s="35" t="s">
        <v>62</v>
      </c>
      <c r="J54" s="40"/>
      <c r="K54" s="40" t="str">
        <f t="shared" ref="K54:K62" si="12">IF(COUNT(E54)=0,"Sin reporte",IF(E54=1,"Completada",IF(G54&lt;46279,"Revisar retraso",IF(E54&gt;0,"En curso","Sin iniciar"))))</f>
        <v>Sin reporte</v>
      </c>
      <c r="L54" s="1"/>
      <c r="M54" s="41"/>
      <c r="N54" s="41"/>
      <c r="O54" s="41"/>
      <c r="P54" s="42"/>
      <c r="Q54" s="41"/>
      <c r="R54" s="41"/>
      <c r="S54" s="41"/>
      <c r="T54" s="84"/>
      <c r="U54" s="41"/>
      <c r="V54" s="41"/>
      <c r="W54" s="41"/>
      <c r="X54" s="41"/>
      <c r="Y54" s="41"/>
      <c r="Z54" s="41"/>
      <c r="AA54" s="41"/>
      <c r="AB54" s="1"/>
      <c r="AC54" s="1"/>
      <c r="AD54" s="1"/>
      <c r="AE54" s="1"/>
      <c r="AF54" s="1"/>
      <c r="AG54" s="1"/>
      <c r="AH54" s="1"/>
      <c r="AI54" s="1"/>
    </row>
    <row r="55" ht="31.5" customHeight="1">
      <c r="A55" s="1"/>
      <c r="B55" s="31" t="s">
        <v>164</v>
      </c>
      <c r="C55" s="31" t="s">
        <v>159</v>
      </c>
      <c r="D55" s="9" t="s">
        <v>165</v>
      </c>
      <c r="E55" s="32"/>
      <c r="F55" s="33">
        <v>46307.0</v>
      </c>
      <c r="G55" s="33">
        <v>46320.0</v>
      </c>
      <c r="H55" s="34">
        <f t="shared" si="11"/>
        <v>10</v>
      </c>
      <c r="I55" s="35" t="s">
        <v>62</v>
      </c>
      <c r="J55" s="34"/>
      <c r="K55" s="34" t="str">
        <f t="shared" si="12"/>
        <v>Sin reporte</v>
      </c>
      <c r="L55" s="8"/>
      <c r="M55" s="37"/>
      <c r="N55" s="37"/>
      <c r="O55" s="37"/>
      <c r="P55" s="38"/>
      <c r="Q55" s="37"/>
      <c r="R55" s="37"/>
      <c r="S55" s="37"/>
      <c r="T55" s="84"/>
      <c r="U55" s="84"/>
      <c r="V55" s="37"/>
      <c r="W55" s="37"/>
      <c r="X55" s="37"/>
      <c r="Y55" s="37"/>
      <c r="Z55" s="37"/>
      <c r="AA55" s="37"/>
      <c r="AB55" s="1"/>
      <c r="AC55" s="1"/>
      <c r="AD55" s="1"/>
      <c r="AE55" s="1"/>
      <c r="AF55" s="1"/>
      <c r="AG55" s="1"/>
      <c r="AH55" s="1"/>
      <c r="AI55" s="1"/>
    </row>
    <row r="56" ht="31.5" customHeight="1">
      <c r="A56" s="1"/>
      <c r="B56" s="39" t="s">
        <v>167</v>
      </c>
      <c r="C56" s="39" t="s">
        <v>168</v>
      </c>
      <c r="D56" s="18" t="s">
        <v>169</v>
      </c>
      <c r="E56" s="32"/>
      <c r="F56" s="33">
        <v>46314.0</v>
      </c>
      <c r="G56" s="33">
        <v>46320.0</v>
      </c>
      <c r="H56" s="40">
        <f t="shared" si="11"/>
        <v>5</v>
      </c>
      <c r="I56" s="35" t="s">
        <v>62</v>
      </c>
      <c r="J56" s="40"/>
      <c r="K56" s="40" t="str">
        <f t="shared" si="12"/>
        <v>Sin reporte</v>
      </c>
      <c r="L56" s="1"/>
      <c r="M56" s="41"/>
      <c r="N56" s="41"/>
      <c r="O56" s="41"/>
      <c r="P56" s="42"/>
      <c r="Q56" s="41"/>
      <c r="R56" s="41"/>
      <c r="S56" s="41"/>
      <c r="T56" s="41"/>
      <c r="U56" s="84"/>
      <c r="V56" s="41"/>
      <c r="W56" s="41"/>
      <c r="X56" s="41"/>
      <c r="Y56" s="41"/>
      <c r="Z56" s="41"/>
      <c r="AA56" s="41"/>
      <c r="AB56" s="1"/>
      <c r="AC56" s="1"/>
      <c r="AD56" s="1"/>
      <c r="AE56" s="1"/>
      <c r="AF56" s="1"/>
      <c r="AG56" s="1"/>
      <c r="AH56" s="1"/>
      <c r="AI56" s="1"/>
    </row>
    <row r="57" ht="31.5" customHeight="1">
      <c r="A57" s="1"/>
      <c r="B57" s="31" t="s">
        <v>172</v>
      </c>
      <c r="C57" s="31" t="s">
        <v>173</v>
      </c>
      <c r="D57" s="9" t="s">
        <v>174</v>
      </c>
      <c r="E57" s="32"/>
      <c r="F57" s="33">
        <v>46321.0</v>
      </c>
      <c r="G57" s="33">
        <v>46327.0</v>
      </c>
      <c r="H57" s="34">
        <f t="shared" si="11"/>
        <v>5</v>
      </c>
      <c r="I57" s="35" t="s">
        <v>62</v>
      </c>
      <c r="J57" s="34"/>
      <c r="K57" s="34" t="str">
        <f t="shared" si="12"/>
        <v>Sin reporte</v>
      </c>
      <c r="L57" s="8"/>
      <c r="M57" s="37"/>
      <c r="N57" s="37"/>
      <c r="O57" s="37"/>
      <c r="P57" s="38"/>
      <c r="Q57" s="37"/>
      <c r="R57" s="37"/>
      <c r="S57" s="37"/>
      <c r="T57" s="37"/>
      <c r="U57" s="37"/>
      <c r="V57" s="84"/>
      <c r="W57" s="37"/>
      <c r="X57" s="37"/>
      <c r="Y57" s="37"/>
      <c r="Z57" s="37"/>
      <c r="AA57" s="37"/>
      <c r="AB57" s="1"/>
      <c r="AC57" s="1"/>
      <c r="AD57" s="1"/>
      <c r="AE57" s="1"/>
      <c r="AF57" s="1"/>
      <c r="AG57" s="1"/>
      <c r="AH57" s="1"/>
      <c r="AI57" s="1"/>
    </row>
    <row r="58" ht="31.5" customHeight="1">
      <c r="A58" s="1"/>
      <c r="B58" s="39" t="s">
        <v>176</v>
      </c>
      <c r="C58" s="39" t="s">
        <v>177</v>
      </c>
      <c r="D58" s="18" t="s">
        <v>178</v>
      </c>
      <c r="E58" s="32"/>
      <c r="F58" s="33">
        <v>46321.0</v>
      </c>
      <c r="G58" s="33">
        <v>46327.0</v>
      </c>
      <c r="H58" s="40">
        <f t="shared" si="11"/>
        <v>5</v>
      </c>
      <c r="I58" s="35" t="s">
        <v>62</v>
      </c>
      <c r="J58" s="40"/>
      <c r="K58" s="40" t="str">
        <f t="shared" si="12"/>
        <v>Sin reporte</v>
      </c>
      <c r="L58" s="1"/>
      <c r="M58" s="41"/>
      <c r="N58" s="41"/>
      <c r="O58" s="41"/>
      <c r="P58" s="42"/>
      <c r="Q58" s="41"/>
      <c r="R58" s="41"/>
      <c r="S58" s="41"/>
      <c r="T58" s="41"/>
      <c r="U58" s="41"/>
      <c r="V58" s="84"/>
      <c r="W58" s="41"/>
      <c r="X58" s="41"/>
      <c r="Y58" s="41"/>
      <c r="Z58" s="41"/>
      <c r="AA58" s="41"/>
      <c r="AB58" s="1"/>
      <c r="AC58" s="1"/>
      <c r="AD58" s="1"/>
      <c r="AE58" s="1"/>
      <c r="AF58" s="1"/>
      <c r="AG58" s="1"/>
      <c r="AH58" s="1"/>
      <c r="AI58" s="1"/>
    </row>
    <row r="59" ht="31.5" customHeight="1">
      <c r="A59" s="1"/>
      <c r="B59" s="31" t="s">
        <v>180</v>
      </c>
      <c r="C59" s="31" t="s">
        <v>168</v>
      </c>
      <c r="D59" s="9" t="s">
        <v>181</v>
      </c>
      <c r="E59" s="32"/>
      <c r="F59" s="33">
        <v>46328.0</v>
      </c>
      <c r="G59" s="33">
        <v>46334.0</v>
      </c>
      <c r="H59" s="34">
        <f t="shared" si="11"/>
        <v>5</v>
      </c>
      <c r="I59" s="35" t="s">
        <v>62</v>
      </c>
      <c r="J59" s="34"/>
      <c r="K59" s="34" t="str">
        <f t="shared" si="12"/>
        <v>Sin reporte</v>
      </c>
      <c r="L59" s="8"/>
      <c r="M59" s="37"/>
      <c r="N59" s="37"/>
      <c r="O59" s="37"/>
      <c r="P59" s="38"/>
      <c r="Q59" s="37"/>
      <c r="R59" s="37"/>
      <c r="S59" s="37"/>
      <c r="T59" s="37"/>
      <c r="U59" s="37"/>
      <c r="V59" s="37"/>
      <c r="W59" s="84"/>
      <c r="X59" s="37"/>
      <c r="Y59" s="37"/>
      <c r="Z59" s="37"/>
      <c r="AA59" s="37"/>
      <c r="AB59" s="1"/>
      <c r="AC59" s="1"/>
      <c r="AD59" s="1"/>
      <c r="AE59" s="1"/>
      <c r="AF59" s="1"/>
      <c r="AG59" s="1"/>
      <c r="AH59" s="1"/>
      <c r="AI59" s="1"/>
    </row>
    <row r="60" ht="31.5" customHeight="1">
      <c r="A60" s="1"/>
      <c r="B60" s="39" t="s">
        <v>183</v>
      </c>
      <c r="C60" s="39" t="s">
        <v>173</v>
      </c>
      <c r="D60" s="18" t="s">
        <v>184</v>
      </c>
      <c r="E60" s="32"/>
      <c r="F60" s="33">
        <v>46328.0</v>
      </c>
      <c r="G60" s="33">
        <v>46334.0</v>
      </c>
      <c r="H60" s="40">
        <f t="shared" si="11"/>
        <v>5</v>
      </c>
      <c r="I60" s="35" t="s">
        <v>62</v>
      </c>
      <c r="J60" s="40"/>
      <c r="K60" s="40" t="str">
        <f t="shared" si="12"/>
        <v>Sin reporte</v>
      </c>
      <c r="L60" s="1"/>
      <c r="M60" s="41"/>
      <c r="N60" s="41"/>
      <c r="O60" s="41"/>
      <c r="P60" s="42"/>
      <c r="Q60" s="41"/>
      <c r="R60" s="41"/>
      <c r="S60" s="41"/>
      <c r="T60" s="41"/>
      <c r="U60" s="41"/>
      <c r="V60" s="41"/>
      <c r="W60" s="84"/>
      <c r="X60" s="41"/>
      <c r="Y60" s="41"/>
      <c r="Z60" s="41"/>
      <c r="AA60" s="41"/>
      <c r="AB60" s="1"/>
      <c r="AC60" s="1"/>
      <c r="AD60" s="1"/>
      <c r="AE60" s="1"/>
      <c r="AF60" s="1"/>
      <c r="AG60" s="1"/>
      <c r="AH60" s="1"/>
      <c r="AI60" s="1"/>
    </row>
    <row r="61" ht="31.5" customHeight="1">
      <c r="A61" s="1"/>
      <c r="B61" s="31" t="s">
        <v>187</v>
      </c>
      <c r="C61" s="31" t="s">
        <v>177</v>
      </c>
      <c r="D61" s="9" t="s">
        <v>188</v>
      </c>
      <c r="E61" s="32"/>
      <c r="F61" s="33">
        <v>46335.0</v>
      </c>
      <c r="G61" s="33">
        <v>46341.0</v>
      </c>
      <c r="H61" s="34">
        <f t="shared" si="11"/>
        <v>5</v>
      </c>
      <c r="I61" s="35" t="s">
        <v>62</v>
      </c>
      <c r="J61" s="34"/>
      <c r="K61" s="34" t="str">
        <f t="shared" si="12"/>
        <v>Sin reporte</v>
      </c>
      <c r="L61" s="8"/>
      <c r="M61" s="37"/>
      <c r="N61" s="37"/>
      <c r="O61" s="37"/>
      <c r="P61" s="38"/>
      <c r="Q61" s="37"/>
      <c r="R61" s="37"/>
      <c r="S61" s="37"/>
      <c r="T61" s="37"/>
      <c r="U61" s="37"/>
      <c r="V61" s="37"/>
      <c r="W61" s="37"/>
      <c r="X61" s="84"/>
      <c r="Y61" s="37"/>
      <c r="Z61" s="37"/>
      <c r="AA61" s="37"/>
      <c r="AB61" s="1"/>
      <c r="AC61" s="1"/>
      <c r="AD61" s="1"/>
      <c r="AE61" s="1"/>
      <c r="AF61" s="1"/>
      <c r="AG61" s="1"/>
      <c r="AH61" s="1"/>
      <c r="AI61" s="1"/>
    </row>
    <row r="62" ht="31.5" customHeight="1">
      <c r="A62" s="1"/>
      <c r="B62" s="39" t="s">
        <v>190</v>
      </c>
      <c r="C62" s="39" t="s">
        <v>191</v>
      </c>
      <c r="D62" s="18" t="s">
        <v>192</v>
      </c>
      <c r="E62" s="32"/>
      <c r="F62" s="33">
        <v>46335.0</v>
      </c>
      <c r="G62" s="33">
        <v>46341.0</v>
      </c>
      <c r="H62" s="40">
        <f t="shared" si="11"/>
        <v>5</v>
      </c>
      <c r="I62" s="35" t="s">
        <v>62</v>
      </c>
      <c r="J62" s="40"/>
      <c r="K62" s="40" t="str">
        <f t="shared" si="12"/>
        <v>Sin reporte</v>
      </c>
      <c r="L62" s="1"/>
      <c r="M62" s="41"/>
      <c r="N62" s="41"/>
      <c r="O62" s="41"/>
      <c r="P62" s="42"/>
      <c r="Q62" s="41"/>
      <c r="R62" s="41"/>
      <c r="S62" s="41"/>
      <c r="T62" s="41"/>
      <c r="U62" s="41"/>
      <c r="V62" s="41"/>
      <c r="W62" s="41"/>
      <c r="X62" s="84"/>
      <c r="Y62" s="41"/>
      <c r="Z62" s="41"/>
      <c r="AA62" s="41"/>
      <c r="AB62" s="1"/>
      <c r="AC62" s="1"/>
      <c r="AD62" s="1"/>
      <c r="AE62" s="1"/>
      <c r="AF62" s="1"/>
      <c r="AG62" s="1"/>
      <c r="AH62" s="1"/>
      <c r="AI62" s="1"/>
    </row>
    <row r="63" ht="30.75" customHeight="1">
      <c r="A63" s="1"/>
      <c r="B63" s="85" t="s">
        <v>256</v>
      </c>
      <c r="E63" s="86" t="str">
        <f>IF(COUNT(E64:E68)=5,SUMPRODUCT(E64:E68,'Plan de trabajo'!E49:E53)/SUM('Plan de trabajo'!E49:E53),"")</f>
        <v/>
      </c>
      <c r="F63" s="87">
        <f>IF(COUNT(F64:F68)=0,"",MIN(F64:F68))</f>
        <v>46286</v>
      </c>
      <c r="G63" s="87">
        <f>IF(COUNT(G64:G68)=0,"",MAX(G64:G68))</f>
        <v>46327</v>
      </c>
      <c r="H63" s="88">
        <f>NETWORKDAYS(F63,G63)</f>
        <v>30</v>
      </c>
      <c r="I63" s="88"/>
      <c r="J63" s="88"/>
      <c r="K63" s="88"/>
      <c r="L63" s="85"/>
      <c r="M63" s="30"/>
      <c r="N63" s="30"/>
      <c r="O63" s="30"/>
      <c r="P63" s="38"/>
      <c r="Q63" s="88"/>
      <c r="R63" s="88"/>
      <c r="S63" s="88"/>
      <c r="T63" s="88"/>
      <c r="U63" s="88"/>
      <c r="V63" s="88"/>
      <c r="W63" s="30"/>
      <c r="X63" s="30"/>
      <c r="Y63" s="30"/>
      <c r="Z63" s="30"/>
      <c r="AA63" s="30"/>
      <c r="AB63" s="1"/>
      <c r="AC63" s="1"/>
      <c r="AD63" s="1"/>
      <c r="AE63" s="1"/>
      <c r="AF63" s="1"/>
      <c r="AG63" s="1"/>
      <c r="AH63" s="1"/>
      <c r="AI63" s="1"/>
    </row>
    <row r="64" ht="31.5" customHeight="1">
      <c r="A64" s="1"/>
      <c r="B64" s="39" t="s">
        <v>196</v>
      </c>
      <c r="C64" s="39" t="s">
        <v>197</v>
      </c>
      <c r="D64" s="18" t="s">
        <v>198</v>
      </c>
      <c r="E64" s="32"/>
      <c r="F64" s="33">
        <v>46286.0</v>
      </c>
      <c r="G64" s="33">
        <v>46292.0</v>
      </c>
      <c r="H64" s="40">
        <f t="shared" ref="H64:H68" si="13">IF(COUNT(F64:G64)&lt;2,"",NETWORKDAYS(F64,G64))</f>
        <v>5</v>
      </c>
      <c r="I64" s="35" t="s">
        <v>76</v>
      </c>
      <c r="J64" s="40"/>
      <c r="K64" s="40" t="str">
        <f t="shared" ref="K64:K68" si="14">IF(COUNT(E64)=0,"Sin reporte",IF(E64=1,"Completada",IF(G64&lt;46279,"Revisar retraso",IF(E64&gt;0,"En curso","Sin iniciar"))))</f>
        <v>Sin reporte</v>
      </c>
      <c r="L64" s="1"/>
      <c r="M64" s="41"/>
      <c r="N64" s="41"/>
      <c r="O64" s="41"/>
      <c r="P64" s="42"/>
      <c r="Q64" s="88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1"/>
      <c r="AC64" s="1"/>
      <c r="AD64" s="1"/>
      <c r="AE64" s="1"/>
      <c r="AF64" s="1"/>
      <c r="AG64" s="1"/>
      <c r="AH64" s="1"/>
      <c r="AI64" s="1"/>
    </row>
    <row r="65" ht="31.5" customHeight="1">
      <c r="A65" s="1"/>
      <c r="B65" s="31" t="s">
        <v>200</v>
      </c>
      <c r="C65" s="31" t="s">
        <v>197</v>
      </c>
      <c r="D65" s="9" t="s">
        <v>201</v>
      </c>
      <c r="E65" s="32"/>
      <c r="F65" s="33">
        <v>46293.0</v>
      </c>
      <c r="G65" s="33">
        <v>46299.0</v>
      </c>
      <c r="H65" s="34">
        <f t="shared" si="13"/>
        <v>5</v>
      </c>
      <c r="I65" s="35" t="s">
        <v>76</v>
      </c>
      <c r="J65" s="34"/>
      <c r="K65" s="34" t="str">
        <f t="shared" si="14"/>
        <v>Sin reporte</v>
      </c>
      <c r="L65" s="8"/>
      <c r="M65" s="37"/>
      <c r="N65" s="37"/>
      <c r="O65" s="37"/>
      <c r="P65" s="38"/>
      <c r="Q65" s="37"/>
      <c r="R65" s="88"/>
      <c r="S65" s="37"/>
      <c r="T65" s="37"/>
      <c r="U65" s="37"/>
      <c r="V65" s="37"/>
      <c r="W65" s="37"/>
      <c r="X65" s="37"/>
      <c r="Y65" s="37"/>
      <c r="Z65" s="37"/>
      <c r="AA65" s="37"/>
      <c r="AB65" s="1"/>
      <c r="AC65" s="1"/>
      <c r="AD65" s="1"/>
      <c r="AE65" s="1"/>
      <c r="AF65" s="1"/>
      <c r="AG65" s="1"/>
      <c r="AH65" s="1"/>
      <c r="AI65" s="1"/>
    </row>
    <row r="66" ht="31.5" customHeight="1">
      <c r="A66" s="1"/>
      <c r="B66" s="39" t="s">
        <v>203</v>
      </c>
      <c r="C66" s="39" t="s">
        <v>197</v>
      </c>
      <c r="D66" s="18" t="s">
        <v>204</v>
      </c>
      <c r="E66" s="32"/>
      <c r="F66" s="33">
        <v>46300.0</v>
      </c>
      <c r="G66" s="33">
        <v>46306.0</v>
      </c>
      <c r="H66" s="40">
        <f t="shared" si="13"/>
        <v>5</v>
      </c>
      <c r="I66" s="35" t="s">
        <v>76</v>
      </c>
      <c r="J66" s="40"/>
      <c r="K66" s="40" t="str">
        <f t="shared" si="14"/>
        <v>Sin reporte</v>
      </c>
      <c r="L66" s="1"/>
      <c r="M66" s="41"/>
      <c r="N66" s="41"/>
      <c r="O66" s="41"/>
      <c r="P66" s="42"/>
      <c r="Q66" s="41"/>
      <c r="R66" s="41"/>
      <c r="S66" s="88"/>
      <c r="T66" s="41"/>
      <c r="U66" s="41"/>
      <c r="V66" s="41"/>
      <c r="W66" s="41"/>
      <c r="X66" s="41"/>
      <c r="Y66" s="41"/>
      <c r="Z66" s="41"/>
      <c r="AA66" s="41"/>
      <c r="AB66" s="1"/>
      <c r="AC66" s="1"/>
      <c r="AD66" s="1"/>
      <c r="AE66" s="1"/>
      <c r="AF66" s="1"/>
      <c r="AG66" s="1"/>
      <c r="AH66" s="1"/>
      <c r="AI66" s="1"/>
    </row>
    <row r="67" ht="31.5" customHeight="1">
      <c r="A67" s="1"/>
      <c r="B67" s="31" t="s">
        <v>206</v>
      </c>
      <c r="C67" s="31" t="s">
        <v>207</v>
      </c>
      <c r="D67" s="9" t="s">
        <v>208</v>
      </c>
      <c r="E67" s="32"/>
      <c r="F67" s="33">
        <v>46314.0</v>
      </c>
      <c r="G67" s="33">
        <v>46320.0</v>
      </c>
      <c r="H67" s="34">
        <f t="shared" si="13"/>
        <v>5</v>
      </c>
      <c r="I67" s="35" t="s">
        <v>76</v>
      </c>
      <c r="J67" s="34"/>
      <c r="K67" s="34" t="str">
        <f t="shared" si="14"/>
        <v>Sin reporte</v>
      </c>
      <c r="L67" s="8"/>
      <c r="M67" s="37"/>
      <c r="N67" s="37"/>
      <c r="O67" s="37"/>
      <c r="P67" s="38"/>
      <c r="Q67" s="37"/>
      <c r="R67" s="37"/>
      <c r="S67" s="37"/>
      <c r="T67" s="37"/>
      <c r="U67" s="88"/>
      <c r="V67" s="37"/>
      <c r="W67" s="37"/>
      <c r="X67" s="37"/>
      <c r="Y67" s="37"/>
      <c r="Z67" s="37"/>
      <c r="AA67" s="37"/>
      <c r="AB67" s="1"/>
      <c r="AC67" s="1"/>
      <c r="AD67" s="1"/>
      <c r="AE67" s="1"/>
      <c r="AF67" s="1"/>
      <c r="AG67" s="1"/>
      <c r="AH67" s="1"/>
      <c r="AI67" s="1"/>
    </row>
    <row r="68" ht="31.5" customHeight="1">
      <c r="A68" s="1"/>
      <c r="B68" s="39" t="s">
        <v>211</v>
      </c>
      <c r="C68" s="39" t="s">
        <v>212</v>
      </c>
      <c r="D68" s="18" t="s">
        <v>213</v>
      </c>
      <c r="E68" s="32"/>
      <c r="F68" s="33">
        <v>46321.0</v>
      </c>
      <c r="G68" s="33">
        <v>46327.0</v>
      </c>
      <c r="H68" s="40">
        <f t="shared" si="13"/>
        <v>5</v>
      </c>
      <c r="I68" s="35" t="s">
        <v>62</v>
      </c>
      <c r="J68" s="40"/>
      <c r="K68" s="40" t="str">
        <f t="shared" si="14"/>
        <v>Sin reporte</v>
      </c>
      <c r="L68" s="1"/>
      <c r="M68" s="41"/>
      <c r="N68" s="41"/>
      <c r="O68" s="41"/>
      <c r="P68" s="42"/>
      <c r="Q68" s="41"/>
      <c r="R68" s="41"/>
      <c r="S68" s="41"/>
      <c r="T68" s="41"/>
      <c r="U68" s="41"/>
      <c r="V68" s="88"/>
      <c r="W68" s="41"/>
      <c r="X68" s="41"/>
      <c r="Y68" s="41"/>
      <c r="Z68" s="41"/>
      <c r="AA68" s="41"/>
      <c r="AB68" s="1"/>
      <c r="AC68" s="1"/>
      <c r="AD68" s="1"/>
      <c r="AE68" s="1"/>
      <c r="AF68" s="1"/>
      <c r="AG68" s="1"/>
      <c r="AH68" s="1"/>
      <c r="AI68" s="1"/>
    </row>
    <row r="69" ht="30.75" customHeight="1">
      <c r="A69" s="1"/>
      <c r="B69" s="89" t="s">
        <v>268</v>
      </c>
      <c r="E69" s="90" t="str">
        <f>IF(COUNT(E70:E81)=12,SUMPRODUCT(E70:E81,'Plan de trabajo'!E54:E65)/SUM('Plan de trabajo'!E54:E65),"")</f>
        <v/>
      </c>
      <c r="F69" s="91">
        <f>IF(COUNT(F70:F81)=0,"",MIN(F70:F81))</f>
        <v>46314</v>
      </c>
      <c r="G69" s="91">
        <f>IF(COUNT(G70:G81)=0,"",MAX(G70:G81))</f>
        <v>46355</v>
      </c>
      <c r="H69" s="92">
        <f>NETWORKDAYS(F69,G69)</f>
        <v>30</v>
      </c>
      <c r="I69" s="92"/>
      <c r="J69" s="92"/>
      <c r="K69" s="92"/>
      <c r="L69" s="89"/>
      <c r="M69" s="30"/>
      <c r="N69" s="30"/>
      <c r="O69" s="30"/>
      <c r="P69" s="74"/>
      <c r="Q69" s="30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1"/>
      <c r="AC69" s="1"/>
      <c r="AD69" s="1"/>
      <c r="AE69" s="1"/>
      <c r="AF69" s="1"/>
      <c r="AG69" s="1"/>
      <c r="AH69" s="1"/>
      <c r="AI69" s="1"/>
    </row>
    <row r="70" ht="31.5" customHeight="1">
      <c r="A70" s="1"/>
      <c r="B70" s="39" t="s">
        <v>217</v>
      </c>
      <c r="C70" s="39" t="s">
        <v>218</v>
      </c>
      <c r="D70" s="18" t="s">
        <v>219</v>
      </c>
      <c r="E70" s="32"/>
      <c r="F70" s="33">
        <v>46314.0</v>
      </c>
      <c r="G70" s="33">
        <v>46320.0</v>
      </c>
      <c r="H70" s="40">
        <f t="shared" ref="H70:H81" si="15">IF(COUNT(F70:G70)&lt;2,"",NETWORKDAYS(F70,G70))</f>
        <v>5</v>
      </c>
      <c r="I70" s="35" t="s">
        <v>76</v>
      </c>
      <c r="J70" s="40"/>
      <c r="K70" s="40" t="str">
        <f t="shared" ref="K70:K81" si="16">IF(COUNT(E70)=0,"Sin reporte",IF(E70=1,"Completada",IF(G70&lt;46279,"Revisar retraso",IF(E70&gt;0,"En curso","Sin iniciar"))))</f>
        <v>Sin reporte</v>
      </c>
      <c r="L70" s="1"/>
      <c r="M70" s="41"/>
      <c r="N70" s="41"/>
      <c r="O70" s="41"/>
      <c r="P70" s="42"/>
      <c r="Q70" s="41"/>
      <c r="R70" s="41"/>
      <c r="S70" s="41"/>
      <c r="T70" s="41"/>
      <c r="U70" s="89"/>
      <c r="V70" s="41"/>
      <c r="W70" s="41"/>
      <c r="X70" s="41"/>
      <c r="Y70" s="41"/>
      <c r="Z70" s="41"/>
      <c r="AA70" s="41"/>
      <c r="AB70" s="1"/>
      <c r="AC70" s="1"/>
      <c r="AD70" s="1"/>
      <c r="AE70" s="1"/>
      <c r="AF70" s="1"/>
      <c r="AG70" s="1"/>
      <c r="AH70" s="1"/>
      <c r="AI70" s="1"/>
    </row>
    <row r="71" ht="31.5" customHeight="1">
      <c r="A71" s="1"/>
      <c r="B71" s="31" t="s">
        <v>223</v>
      </c>
      <c r="C71" s="31" t="s">
        <v>224</v>
      </c>
      <c r="D71" s="9" t="s">
        <v>225</v>
      </c>
      <c r="E71" s="32"/>
      <c r="F71" s="33">
        <v>46328.0</v>
      </c>
      <c r="G71" s="33">
        <v>46334.0</v>
      </c>
      <c r="H71" s="34">
        <f t="shared" si="15"/>
        <v>5</v>
      </c>
      <c r="I71" s="35" t="s">
        <v>62</v>
      </c>
      <c r="J71" s="34"/>
      <c r="K71" s="34" t="str">
        <f t="shared" si="16"/>
        <v>Sin reporte</v>
      </c>
      <c r="L71" s="8"/>
      <c r="M71" s="37"/>
      <c r="N71" s="37"/>
      <c r="O71" s="37"/>
      <c r="P71" s="38"/>
      <c r="Q71" s="37"/>
      <c r="R71" s="37"/>
      <c r="S71" s="37"/>
      <c r="T71" s="37"/>
      <c r="U71" s="37"/>
      <c r="V71" s="37"/>
      <c r="W71" s="89"/>
      <c r="X71" s="37"/>
      <c r="Y71" s="37"/>
      <c r="Z71" s="37"/>
      <c r="AA71" s="37"/>
      <c r="AB71" s="1"/>
      <c r="AC71" s="1"/>
      <c r="AD71" s="1"/>
      <c r="AE71" s="1"/>
      <c r="AF71" s="1"/>
      <c r="AG71" s="1"/>
      <c r="AH71" s="1"/>
      <c r="AI71" s="1"/>
    </row>
    <row r="72" ht="31.5" customHeight="1">
      <c r="A72" s="1"/>
      <c r="B72" s="39" t="s">
        <v>229</v>
      </c>
      <c r="C72" s="39" t="s">
        <v>218</v>
      </c>
      <c r="D72" s="18" t="s">
        <v>230</v>
      </c>
      <c r="E72" s="32"/>
      <c r="F72" s="33">
        <v>46328.0</v>
      </c>
      <c r="G72" s="33">
        <v>46334.0</v>
      </c>
      <c r="H72" s="40">
        <f t="shared" si="15"/>
        <v>5</v>
      </c>
      <c r="I72" s="35" t="s">
        <v>62</v>
      </c>
      <c r="J72" s="40"/>
      <c r="K72" s="40" t="str">
        <f t="shared" si="16"/>
        <v>Sin reporte</v>
      </c>
      <c r="L72" s="1"/>
      <c r="M72" s="41"/>
      <c r="N72" s="41"/>
      <c r="O72" s="41"/>
      <c r="P72" s="42"/>
      <c r="Q72" s="41"/>
      <c r="R72" s="41"/>
      <c r="S72" s="41"/>
      <c r="T72" s="41"/>
      <c r="U72" s="41"/>
      <c r="V72" s="41"/>
      <c r="W72" s="89"/>
      <c r="X72" s="41"/>
      <c r="Y72" s="41"/>
      <c r="Z72" s="41"/>
      <c r="AA72" s="41"/>
      <c r="AB72" s="1"/>
      <c r="AC72" s="1"/>
      <c r="AD72" s="1"/>
      <c r="AE72" s="1"/>
      <c r="AF72" s="1"/>
      <c r="AG72" s="1"/>
      <c r="AH72" s="1"/>
      <c r="AI72" s="1"/>
    </row>
    <row r="73" ht="31.5" customHeight="1">
      <c r="A73" s="1"/>
      <c r="B73" s="31" t="s">
        <v>233</v>
      </c>
      <c r="C73" s="31" t="s">
        <v>224</v>
      </c>
      <c r="D73" s="9" t="s">
        <v>234</v>
      </c>
      <c r="E73" s="32"/>
      <c r="F73" s="33">
        <v>46328.0</v>
      </c>
      <c r="G73" s="33">
        <v>46334.0</v>
      </c>
      <c r="H73" s="34">
        <f t="shared" si="15"/>
        <v>5</v>
      </c>
      <c r="I73" s="35" t="s">
        <v>62</v>
      </c>
      <c r="J73" s="34"/>
      <c r="K73" s="34" t="str">
        <f t="shared" si="16"/>
        <v>Sin reporte</v>
      </c>
      <c r="L73" s="8"/>
      <c r="M73" s="37"/>
      <c r="N73" s="37"/>
      <c r="O73" s="37"/>
      <c r="P73" s="38"/>
      <c r="Q73" s="37"/>
      <c r="R73" s="37"/>
      <c r="S73" s="37"/>
      <c r="T73" s="37"/>
      <c r="U73" s="37"/>
      <c r="V73" s="37"/>
      <c r="W73" s="89"/>
      <c r="X73" s="37"/>
      <c r="Y73" s="37"/>
      <c r="Z73" s="37"/>
      <c r="AA73" s="37"/>
      <c r="AB73" s="1"/>
      <c r="AC73" s="1"/>
      <c r="AD73" s="1"/>
      <c r="AE73" s="1"/>
      <c r="AF73" s="1"/>
      <c r="AG73" s="1"/>
      <c r="AH73" s="1"/>
      <c r="AI73" s="1"/>
    </row>
    <row r="74" ht="31.5" customHeight="1">
      <c r="A74" s="1"/>
      <c r="B74" s="39" t="s">
        <v>236</v>
      </c>
      <c r="C74" s="39" t="s">
        <v>237</v>
      </c>
      <c r="D74" s="18" t="s">
        <v>238</v>
      </c>
      <c r="E74" s="32"/>
      <c r="F74" s="33">
        <v>46335.0</v>
      </c>
      <c r="G74" s="33">
        <v>46341.0</v>
      </c>
      <c r="H74" s="40">
        <f t="shared" si="15"/>
        <v>5</v>
      </c>
      <c r="I74" s="35" t="s">
        <v>62</v>
      </c>
      <c r="J74" s="40"/>
      <c r="K74" s="40" t="str">
        <f t="shared" si="16"/>
        <v>Sin reporte</v>
      </c>
      <c r="L74" s="1"/>
      <c r="M74" s="41"/>
      <c r="N74" s="41"/>
      <c r="O74" s="41"/>
      <c r="P74" s="42"/>
      <c r="Q74" s="41"/>
      <c r="R74" s="41"/>
      <c r="S74" s="41"/>
      <c r="T74" s="41"/>
      <c r="U74" s="41"/>
      <c r="V74" s="41"/>
      <c r="W74" s="41"/>
      <c r="X74" s="89"/>
      <c r="Y74" s="41"/>
      <c r="Z74" s="41"/>
      <c r="AA74" s="41"/>
      <c r="AB74" s="1"/>
      <c r="AC74" s="1"/>
      <c r="AD74" s="1"/>
      <c r="AE74" s="1"/>
      <c r="AF74" s="1"/>
      <c r="AG74" s="1"/>
      <c r="AH74" s="1"/>
      <c r="AI74" s="1"/>
    </row>
    <row r="75" ht="31.5" customHeight="1">
      <c r="A75" s="1"/>
      <c r="B75" s="31" t="s">
        <v>240</v>
      </c>
      <c r="C75" s="31" t="s">
        <v>241</v>
      </c>
      <c r="D75" s="9" t="s">
        <v>242</v>
      </c>
      <c r="E75" s="32"/>
      <c r="F75" s="33">
        <v>46335.0</v>
      </c>
      <c r="G75" s="33">
        <v>46341.0</v>
      </c>
      <c r="H75" s="34">
        <f t="shared" si="15"/>
        <v>5</v>
      </c>
      <c r="I75" s="35" t="s">
        <v>62</v>
      </c>
      <c r="J75" s="34"/>
      <c r="K75" s="34" t="str">
        <f t="shared" si="16"/>
        <v>Sin reporte</v>
      </c>
      <c r="L75" s="8"/>
      <c r="M75" s="37"/>
      <c r="N75" s="37"/>
      <c r="O75" s="37"/>
      <c r="P75" s="38"/>
      <c r="Q75" s="37"/>
      <c r="R75" s="37"/>
      <c r="S75" s="37"/>
      <c r="T75" s="37"/>
      <c r="U75" s="37"/>
      <c r="V75" s="37"/>
      <c r="W75" s="37"/>
      <c r="X75" s="89"/>
      <c r="Y75" s="37"/>
      <c r="Z75" s="37"/>
      <c r="AA75" s="37"/>
      <c r="AB75" s="1"/>
      <c r="AC75" s="1"/>
      <c r="AD75" s="1"/>
      <c r="AE75" s="1"/>
      <c r="AF75" s="1"/>
      <c r="AG75" s="1"/>
      <c r="AH75" s="1"/>
      <c r="AI75" s="1"/>
    </row>
    <row r="76" ht="31.5" customHeight="1">
      <c r="A76" s="1"/>
      <c r="B76" s="39" t="s">
        <v>244</v>
      </c>
      <c r="C76" s="39" t="s">
        <v>241</v>
      </c>
      <c r="D76" s="18" t="s">
        <v>245</v>
      </c>
      <c r="E76" s="32"/>
      <c r="F76" s="33">
        <v>46335.0</v>
      </c>
      <c r="G76" s="33">
        <v>46341.0</v>
      </c>
      <c r="H76" s="40">
        <f t="shared" si="15"/>
        <v>5</v>
      </c>
      <c r="I76" s="35" t="s">
        <v>76</v>
      </c>
      <c r="J76" s="40"/>
      <c r="K76" s="40" t="str">
        <f t="shared" si="16"/>
        <v>Sin reporte</v>
      </c>
      <c r="L76" s="1"/>
      <c r="M76" s="41"/>
      <c r="N76" s="41"/>
      <c r="O76" s="41"/>
      <c r="P76" s="42"/>
      <c r="Q76" s="41"/>
      <c r="R76" s="41"/>
      <c r="S76" s="41"/>
      <c r="T76" s="41"/>
      <c r="U76" s="41"/>
      <c r="V76" s="41"/>
      <c r="W76" s="41"/>
      <c r="X76" s="89"/>
      <c r="Y76" s="41"/>
      <c r="Z76" s="41"/>
      <c r="AA76" s="41"/>
      <c r="AB76" s="1"/>
      <c r="AC76" s="1"/>
      <c r="AD76" s="1"/>
      <c r="AE76" s="1"/>
      <c r="AF76" s="1"/>
      <c r="AG76" s="1"/>
      <c r="AH76" s="1"/>
      <c r="AI76" s="1"/>
    </row>
    <row r="77" ht="31.5" customHeight="1">
      <c r="A77" s="1"/>
      <c r="B77" s="31" t="s">
        <v>247</v>
      </c>
      <c r="C77" s="31" t="s">
        <v>241</v>
      </c>
      <c r="D77" s="9" t="s">
        <v>248</v>
      </c>
      <c r="E77" s="32"/>
      <c r="F77" s="33">
        <v>46342.0</v>
      </c>
      <c r="G77" s="33">
        <v>46348.0</v>
      </c>
      <c r="H77" s="34">
        <f t="shared" si="15"/>
        <v>5</v>
      </c>
      <c r="I77" s="35" t="s">
        <v>76</v>
      </c>
      <c r="J77" s="34"/>
      <c r="K77" s="34" t="str">
        <f t="shared" si="16"/>
        <v>Sin reporte</v>
      </c>
      <c r="L77" s="8"/>
      <c r="M77" s="37"/>
      <c r="N77" s="37"/>
      <c r="O77" s="37"/>
      <c r="P77" s="38"/>
      <c r="Q77" s="37"/>
      <c r="R77" s="37"/>
      <c r="S77" s="37"/>
      <c r="T77" s="37"/>
      <c r="U77" s="37"/>
      <c r="V77" s="37"/>
      <c r="W77" s="37"/>
      <c r="X77" s="37"/>
      <c r="Y77" s="89"/>
      <c r="Z77" s="37"/>
      <c r="AA77" s="37"/>
      <c r="AB77" s="1"/>
      <c r="AC77" s="1"/>
      <c r="AD77" s="1"/>
      <c r="AE77" s="1"/>
      <c r="AF77" s="1"/>
      <c r="AG77" s="1"/>
      <c r="AH77" s="1"/>
      <c r="AI77" s="1"/>
    </row>
    <row r="78" ht="31.5" customHeight="1">
      <c r="A78" s="1"/>
      <c r="B78" s="39" t="s">
        <v>251</v>
      </c>
      <c r="C78" s="39" t="s">
        <v>252</v>
      </c>
      <c r="D78" s="18" t="s">
        <v>253</v>
      </c>
      <c r="E78" s="32"/>
      <c r="F78" s="33">
        <v>46342.0</v>
      </c>
      <c r="G78" s="33">
        <v>46348.0</v>
      </c>
      <c r="H78" s="40">
        <f t="shared" si="15"/>
        <v>5</v>
      </c>
      <c r="I78" s="35" t="s">
        <v>62</v>
      </c>
      <c r="J78" s="40"/>
      <c r="K78" s="40" t="str">
        <f t="shared" si="16"/>
        <v>Sin reporte</v>
      </c>
      <c r="L78" s="1"/>
      <c r="M78" s="41"/>
      <c r="N78" s="41"/>
      <c r="O78" s="41"/>
      <c r="P78" s="42"/>
      <c r="Q78" s="41"/>
      <c r="R78" s="41"/>
      <c r="S78" s="41"/>
      <c r="T78" s="41"/>
      <c r="U78" s="41"/>
      <c r="V78" s="41"/>
      <c r="W78" s="41"/>
      <c r="X78" s="41"/>
      <c r="Y78" s="89"/>
      <c r="Z78" s="41"/>
      <c r="AA78" s="41"/>
      <c r="AB78" s="1"/>
      <c r="AC78" s="1"/>
      <c r="AD78" s="1"/>
      <c r="AE78" s="1"/>
      <c r="AF78" s="1"/>
      <c r="AG78" s="1"/>
      <c r="AH78" s="1"/>
      <c r="AI78" s="1"/>
    </row>
    <row r="79" ht="31.5" customHeight="1">
      <c r="A79" s="1"/>
      <c r="B79" s="31" t="s">
        <v>257</v>
      </c>
      <c r="C79" s="31" t="s">
        <v>258</v>
      </c>
      <c r="D79" s="9" t="s">
        <v>259</v>
      </c>
      <c r="E79" s="32"/>
      <c r="F79" s="33">
        <v>46349.0</v>
      </c>
      <c r="G79" s="33">
        <v>46355.0</v>
      </c>
      <c r="H79" s="34">
        <f t="shared" si="15"/>
        <v>5</v>
      </c>
      <c r="I79" s="35" t="s">
        <v>62</v>
      </c>
      <c r="J79" s="34"/>
      <c r="K79" s="34" t="str">
        <f t="shared" si="16"/>
        <v>Sin reporte</v>
      </c>
      <c r="L79" s="8"/>
      <c r="M79" s="37"/>
      <c r="N79" s="37"/>
      <c r="O79" s="37"/>
      <c r="P79" s="38"/>
      <c r="Q79" s="37"/>
      <c r="R79" s="37"/>
      <c r="S79" s="37"/>
      <c r="T79" s="37"/>
      <c r="U79" s="37"/>
      <c r="V79" s="37"/>
      <c r="W79" s="37"/>
      <c r="X79" s="37"/>
      <c r="Y79" s="37"/>
      <c r="Z79" s="89"/>
      <c r="AA79" s="37"/>
      <c r="AB79" s="1"/>
      <c r="AC79" s="1"/>
      <c r="AD79" s="1"/>
      <c r="AE79" s="1"/>
      <c r="AF79" s="1"/>
      <c r="AG79" s="1"/>
      <c r="AH79" s="1"/>
      <c r="AI79" s="1"/>
    </row>
    <row r="80" ht="31.5" customHeight="1">
      <c r="A80" s="1"/>
      <c r="B80" s="39" t="s">
        <v>261</v>
      </c>
      <c r="C80" s="39" t="s">
        <v>237</v>
      </c>
      <c r="D80" s="18" t="s">
        <v>262</v>
      </c>
      <c r="E80" s="32"/>
      <c r="F80" s="33">
        <v>46349.0</v>
      </c>
      <c r="G80" s="33">
        <v>46355.0</v>
      </c>
      <c r="H80" s="40">
        <f t="shared" si="15"/>
        <v>5</v>
      </c>
      <c r="I80" s="35" t="s">
        <v>62</v>
      </c>
      <c r="J80" s="40"/>
      <c r="K80" s="40" t="str">
        <f t="shared" si="16"/>
        <v>Sin reporte</v>
      </c>
      <c r="L80" s="1"/>
      <c r="M80" s="41"/>
      <c r="N80" s="41"/>
      <c r="O80" s="41"/>
      <c r="P80" s="42"/>
      <c r="Q80" s="41"/>
      <c r="R80" s="41"/>
      <c r="S80" s="41"/>
      <c r="T80" s="41"/>
      <c r="U80" s="41"/>
      <c r="V80" s="41"/>
      <c r="W80" s="41"/>
      <c r="X80" s="41"/>
      <c r="Y80" s="41"/>
      <c r="Z80" s="89"/>
      <c r="AA80" s="41"/>
      <c r="AB80" s="1"/>
      <c r="AC80" s="1"/>
      <c r="AD80" s="1"/>
      <c r="AE80" s="1"/>
      <c r="AF80" s="1"/>
      <c r="AG80" s="1"/>
      <c r="AH80" s="1"/>
      <c r="AI80" s="1"/>
    </row>
    <row r="81" ht="31.5" customHeight="1">
      <c r="A81" s="1"/>
      <c r="B81" s="31" t="s">
        <v>265</v>
      </c>
      <c r="C81" s="31" t="s">
        <v>224</v>
      </c>
      <c r="D81" s="9" t="s">
        <v>266</v>
      </c>
      <c r="E81" s="32"/>
      <c r="F81" s="33">
        <v>46349.0</v>
      </c>
      <c r="G81" s="33">
        <v>46355.0</v>
      </c>
      <c r="H81" s="34">
        <f t="shared" si="15"/>
        <v>5</v>
      </c>
      <c r="I81" s="35" t="s">
        <v>62</v>
      </c>
      <c r="J81" s="34"/>
      <c r="K81" s="34" t="str">
        <f t="shared" si="16"/>
        <v>Sin reporte</v>
      </c>
      <c r="L81" s="8"/>
      <c r="M81" s="37"/>
      <c r="N81" s="37"/>
      <c r="O81" s="37"/>
      <c r="P81" s="38"/>
      <c r="Q81" s="37"/>
      <c r="R81" s="37"/>
      <c r="S81" s="37"/>
      <c r="T81" s="37"/>
      <c r="U81" s="37"/>
      <c r="V81" s="37"/>
      <c r="W81" s="37"/>
      <c r="X81" s="37"/>
      <c r="Y81" s="37"/>
      <c r="Z81" s="89"/>
      <c r="AA81" s="37"/>
      <c r="AB81" s="1"/>
      <c r="AC81" s="1"/>
      <c r="AD81" s="1"/>
      <c r="AE81" s="1"/>
      <c r="AF81" s="1"/>
      <c r="AG81" s="1"/>
      <c r="AH81" s="1"/>
      <c r="A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</sheetData>
  <mergeCells count="36">
    <mergeCell ref="M6:AA6"/>
    <mergeCell ref="M7:AA7"/>
    <mergeCell ref="O8:R8"/>
    <mergeCell ref="S8:V8"/>
    <mergeCell ref="W8:Z8"/>
    <mergeCell ref="B2:K2"/>
    <mergeCell ref="M2:AA2"/>
    <mergeCell ref="B4:AA4"/>
    <mergeCell ref="F5:G5"/>
    <mergeCell ref="I5:K5"/>
    <mergeCell ref="M5:S5"/>
    <mergeCell ref="T5:AA5"/>
    <mergeCell ref="F8:F11"/>
    <mergeCell ref="G8:G11"/>
    <mergeCell ref="H8:H11"/>
    <mergeCell ref="I8:I11"/>
    <mergeCell ref="J8:J11"/>
    <mergeCell ref="K8:K11"/>
    <mergeCell ref="M8:N8"/>
    <mergeCell ref="B5:D5"/>
    <mergeCell ref="B6:D6"/>
    <mergeCell ref="E6:H6"/>
    <mergeCell ref="I6:K6"/>
    <mergeCell ref="B7:K7"/>
    <mergeCell ref="B8:B11"/>
    <mergeCell ref="C8:C11"/>
    <mergeCell ref="B53:D53"/>
    <mergeCell ref="B63:D63"/>
    <mergeCell ref="B69:D69"/>
    <mergeCell ref="D8:D11"/>
    <mergeCell ref="E8:E11"/>
    <mergeCell ref="B13:D13"/>
    <mergeCell ref="B23:D23"/>
    <mergeCell ref="B30:D30"/>
    <mergeCell ref="B39:D39"/>
    <mergeCell ref="B44:D44"/>
  </mergeCells>
  <dataValidations>
    <dataValidation type="decimal" allowBlank="1" sqref="E14:E22 E24:E29 E31:E38 E40:E43 E45:E52 E54:E62 E64:E68 E70:E81">
      <formula1>0.0</formula1>
      <formula2>1.0</formula2>
    </dataValidation>
    <dataValidation type="list" allowBlank="1" sqref="I14:I22 I24:I29 I31:I38 I40:I43 I45:I52 I54:I62 I64:I68 I70:I81">
      <formula1>"Sí,No"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6BA5"/>
    <pageSetUpPr/>
  </sheetPr>
  <sheetViews>
    <sheetView showGridLines="0" workbookViewId="0">
      <pane xSplit="4.0" ySplit="11.0" topLeftCell="E12" activePane="bottomRight" state="frozen"/>
      <selection activeCell="E1" sqref="E1" pane="topRight"/>
      <selection activeCell="A12" sqref="A12" pane="bottomLeft"/>
      <selection activeCell="E12" sqref="E12" pane="bottomRight"/>
    </sheetView>
  </sheetViews>
  <sheetFormatPr customHeight="1" defaultColWidth="12.63" defaultRowHeight="15.0"/>
  <cols>
    <col customWidth="1" min="1" max="1" width="2.0"/>
    <col customWidth="1" min="2" max="2" width="6.13"/>
    <col customWidth="1" min="3" max="3" width="7.75"/>
    <col customWidth="1" min="4" max="4" width="52.25"/>
    <col customWidth="1" min="5" max="5" width="8.63"/>
    <col customWidth="1" min="6" max="6" width="20.5"/>
    <col customWidth="1" min="7" max="7" width="48.88"/>
    <col customWidth="1" min="8" max="9" width="11.13"/>
    <col customWidth="1" min="10" max="10" width="9.5"/>
  </cols>
  <sheetData>
    <row r="1" ht="31.5" customHeight="1">
      <c r="A1" s="2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1.5" customHeight="1">
      <c r="A2" s="2"/>
      <c r="B2" s="3" t="s">
        <v>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1.5" customHeight="1">
      <c r="A3" s="2"/>
      <c r="B3" s="1"/>
      <c r="C3" s="1"/>
      <c r="D3" s="1"/>
      <c r="E3" s="1"/>
      <c r="F3" s="1"/>
      <c r="G3" s="1"/>
      <c r="H3" s="1"/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1.5" customHeight="1">
      <c r="A4" s="2"/>
      <c r="B4" s="1" t="s">
        <v>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1.5" customHeight="1">
      <c r="A5" s="2"/>
      <c r="B5" s="1" t="s">
        <v>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1.5" customHeight="1">
      <c r="A6" s="2"/>
      <c r="B6" s="1"/>
      <c r="C6" s="1"/>
      <c r="D6" s="1"/>
      <c r="E6" s="1"/>
      <c r="F6" s="1"/>
      <c r="G6" s="1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1.5" customHeight="1">
      <c r="A7" s="2"/>
      <c r="B7" s="1" t="s">
        <v>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1.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1.5" customHeight="1">
      <c r="A9" s="2"/>
      <c r="B9" s="1" t="s">
        <v>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1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7.5" customHeight="1">
      <c r="A11" s="2"/>
      <c r="B11" s="7" t="s">
        <v>10</v>
      </c>
      <c r="C11" s="7" t="s">
        <v>11</v>
      </c>
      <c r="D11" s="7" t="s">
        <v>12</v>
      </c>
      <c r="E11" s="7" t="s">
        <v>13</v>
      </c>
      <c r="F11" s="7" t="s">
        <v>14</v>
      </c>
      <c r="G11" s="7" t="s">
        <v>15</v>
      </c>
      <c r="H11" s="7" t="s">
        <v>16</v>
      </c>
      <c r="I11" s="7" t="s">
        <v>17</v>
      </c>
      <c r="J11" s="7" t="s">
        <v>18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1.5" customHeight="1">
      <c r="A12" s="2"/>
      <c r="B12" s="8" t="s">
        <v>19</v>
      </c>
      <c r="C12" s="8" t="s">
        <v>20</v>
      </c>
      <c r="D12" s="9" t="s">
        <v>21</v>
      </c>
      <c r="E12" s="10">
        <v>6.0</v>
      </c>
      <c r="F12" s="9"/>
      <c r="G12" s="9" t="s">
        <v>22</v>
      </c>
      <c r="H12" s="14">
        <f>IF(COUNT('Gantt 15 semanas'!F14)=0,"",'Gantt 15 semanas'!F14)</f>
        <v>46258</v>
      </c>
      <c r="I12" s="14">
        <f>IF(COUNT('Gantt 15 semanas'!G14)=0,"",'Gantt 15 semanas'!G14)</f>
        <v>46264</v>
      </c>
      <c r="J12" s="16">
        <f>IF(COUNT('Gantt 15 semanas'!E14)=0,"",'Gantt 15 semanas'!E14)</f>
        <v>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1.5" customHeight="1">
      <c r="A13" s="2"/>
      <c r="B13" s="1" t="s">
        <v>41</v>
      </c>
      <c r="C13" s="1" t="s">
        <v>20</v>
      </c>
      <c r="D13" s="18" t="s">
        <v>42</v>
      </c>
      <c r="E13" s="10">
        <v>8.0</v>
      </c>
      <c r="F13" s="18" t="s">
        <v>19</v>
      </c>
      <c r="G13" s="18" t="s">
        <v>43</v>
      </c>
      <c r="H13" s="21">
        <f>IF(COUNT('Gantt 15 semanas'!F15)=0,"",'Gantt 15 semanas'!F15)</f>
        <v>46265</v>
      </c>
      <c r="I13" s="21">
        <f>IF(COUNT('Gantt 15 semanas'!G15)=0,"",'Gantt 15 semanas'!G15)</f>
        <v>46271</v>
      </c>
      <c r="J13" s="11">
        <f>IF(COUNT('Gantt 15 semanas'!E15)=0,"",'Gantt 15 semanas'!E15)</f>
        <v>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1.5" customHeight="1">
      <c r="A14" s="2"/>
      <c r="B14" s="8" t="s">
        <v>44</v>
      </c>
      <c r="C14" s="8" t="s">
        <v>20</v>
      </c>
      <c r="D14" s="9" t="s">
        <v>45</v>
      </c>
      <c r="E14" s="10">
        <v>5.0</v>
      </c>
      <c r="F14" s="9" t="s">
        <v>41</v>
      </c>
      <c r="G14" s="9" t="s">
        <v>47</v>
      </c>
      <c r="H14" s="14">
        <f>IF(COUNT('Gantt 15 semanas'!F16)=0,"",'Gantt 15 semanas'!F16)</f>
        <v>46272</v>
      </c>
      <c r="I14" s="14">
        <f>IF(COUNT('Gantt 15 semanas'!G16)=0,"",'Gantt 15 semanas'!G16)</f>
        <v>46285</v>
      </c>
      <c r="J14" s="16">
        <f>IF(COUNT('Gantt 15 semanas'!E16)=0,"",'Gantt 15 semanas'!E16)</f>
        <v>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1.5" customHeight="1">
      <c r="A15" s="2"/>
      <c r="B15" s="1" t="s">
        <v>48</v>
      </c>
      <c r="C15" s="1" t="s">
        <v>20</v>
      </c>
      <c r="D15" s="18" t="s">
        <v>49</v>
      </c>
      <c r="E15" s="10">
        <v>10.0</v>
      </c>
      <c r="F15" s="18" t="s">
        <v>44</v>
      </c>
      <c r="G15" s="18" t="s">
        <v>50</v>
      </c>
      <c r="H15" s="21">
        <f>IF(COUNT('Gantt 15 semanas'!F18)=0,"",'Gantt 15 semanas'!F18)</f>
        <v>46286</v>
      </c>
      <c r="I15" s="21">
        <f>IF(COUNT('Gantt 15 semanas'!G18)=0,"",'Gantt 15 semanas'!G18)</f>
        <v>46299</v>
      </c>
      <c r="J15" s="11" t="str">
        <f>IF(COUNT('Gantt 15 semanas'!E18)=0,"",'Gantt 15 semanas'!E18)</f>
        <v/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1.5" customHeight="1">
      <c r="A16" s="2"/>
      <c r="B16" s="8" t="s">
        <v>51</v>
      </c>
      <c r="C16" s="8" t="s">
        <v>52</v>
      </c>
      <c r="D16" s="9" t="s">
        <v>53</v>
      </c>
      <c r="E16" s="10">
        <v>7.0</v>
      </c>
      <c r="F16" s="9" t="s">
        <v>44</v>
      </c>
      <c r="G16" s="9" t="s">
        <v>54</v>
      </c>
      <c r="H16" s="14" t="str">
        <f t="shared" ref="H16:J16" si="1">IF(COUNT(#REF!)=0,"",#REF!)</f>
        <v/>
      </c>
      <c r="I16" s="14" t="str">
        <f t="shared" si="1"/>
        <v/>
      </c>
      <c r="J16" s="16" t="str">
        <f t="shared" si="1"/>
        <v/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1.5" customHeight="1">
      <c r="A17" s="2"/>
      <c r="B17" s="1" t="s">
        <v>55</v>
      </c>
      <c r="C17" s="1" t="s">
        <v>52</v>
      </c>
      <c r="D17" s="18" t="s">
        <v>56</v>
      </c>
      <c r="E17" s="10">
        <v>14.0</v>
      </c>
      <c r="F17" s="18" t="s">
        <v>57</v>
      </c>
      <c r="G17" s="18" t="s">
        <v>58</v>
      </c>
      <c r="H17" s="21">
        <f>IF(COUNT('Gantt 15 semanas'!F19)=0,"",'Gantt 15 semanas'!F19)</f>
        <v>46293</v>
      </c>
      <c r="I17" s="21">
        <f>IF(COUNT('Gantt 15 semanas'!G19)=0,"",'Gantt 15 semanas'!G19)</f>
        <v>46306</v>
      </c>
      <c r="J17" s="11" t="str">
        <f>IF(COUNT('Gantt 15 semanas'!E19)=0,"",'Gantt 15 semanas'!E19)</f>
        <v/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1.5" customHeight="1">
      <c r="A18" s="2"/>
      <c r="B18" s="8" t="s">
        <v>59</v>
      </c>
      <c r="C18" s="8" t="s">
        <v>52</v>
      </c>
      <c r="D18" s="9" t="s">
        <v>60</v>
      </c>
      <c r="E18" s="10">
        <v>8.0</v>
      </c>
      <c r="F18" s="9" t="s">
        <v>55</v>
      </c>
      <c r="G18" s="9" t="s">
        <v>61</v>
      </c>
      <c r="H18" s="14">
        <f>IF(COUNT('Gantt 15 semanas'!F20)=0,"",'Gantt 15 semanas'!F20)</f>
        <v>46300</v>
      </c>
      <c r="I18" s="14">
        <f>IF(COUNT('Gantt 15 semanas'!G20)=0,"",'Gantt 15 semanas'!G20)</f>
        <v>46306</v>
      </c>
      <c r="J18" s="16" t="str">
        <f>IF(COUNT('Gantt 15 semanas'!E20)=0,"",'Gantt 15 semanas'!E20)</f>
        <v/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1.5" customHeight="1">
      <c r="A19" s="2"/>
      <c r="B19" s="1" t="s">
        <v>63</v>
      </c>
      <c r="C19" s="1" t="s">
        <v>64</v>
      </c>
      <c r="D19" s="18" t="s">
        <v>65</v>
      </c>
      <c r="E19" s="10">
        <v>6.0</v>
      </c>
      <c r="F19" s="18" t="s">
        <v>41</v>
      </c>
      <c r="G19" s="18" t="s">
        <v>66</v>
      </c>
      <c r="H19" s="21">
        <f>IF(COUNT('Gantt 15 semanas'!F21)=0,"",'Gantt 15 semanas'!F21)</f>
        <v>46300</v>
      </c>
      <c r="I19" s="21">
        <f>IF(COUNT('Gantt 15 semanas'!G21)=0,"",'Gantt 15 semanas'!G21)</f>
        <v>46306</v>
      </c>
      <c r="J19" s="11" t="str">
        <f>IF(COUNT('Gantt 15 semanas'!E21)=0,"",'Gantt 15 semanas'!E21)</f>
        <v/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1.5" customHeight="1">
      <c r="A20" s="2"/>
      <c r="B20" s="8" t="s">
        <v>68</v>
      </c>
      <c r="C20" s="8" t="s">
        <v>64</v>
      </c>
      <c r="D20" s="9" t="s">
        <v>69</v>
      </c>
      <c r="E20" s="10">
        <v>6.0</v>
      </c>
      <c r="F20" s="9" t="s">
        <v>70</v>
      </c>
      <c r="G20" s="9" t="s">
        <v>71</v>
      </c>
      <c r="H20" s="14">
        <f>IF(COUNT('Gantt 15 semanas'!F22)=0,"",'Gantt 15 semanas'!F22)</f>
        <v>46300</v>
      </c>
      <c r="I20" s="14">
        <f>IF(COUNT('Gantt 15 semanas'!G22)=0,"",'Gantt 15 semanas'!G22)</f>
        <v>46306</v>
      </c>
      <c r="J20" s="16" t="str">
        <f>IF(COUNT('Gantt 15 semanas'!E22)=0,"",'Gantt 15 semanas'!E22)</f>
        <v/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1.5" customHeight="1">
      <c r="A21" s="2"/>
      <c r="B21" s="1" t="s">
        <v>72</v>
      </c>
      <c r="C21" s="1" t="s">
        <v>73</v>
      </c>
      <c r="D21" s="18" t="s">
        <v>74</v>
      </c>
      <c r="E21" s="10">
        <v>6.0</v>
      </c>
      <c r="F21" s="18" t="s">
        <v>41</v>
      </c>
      <c r="G21" s="18" t="s">
        <v>75</v>
      </c>
      <c r="H21" s="21">
        <f>IF(COUNT('Gantt 15 semanas'!F24)=0,"",'Gantt 15 semanas'!F24)</f>
        <v>46265</v>
      </c>
      <c r="I21" s="21">
        <f>IF(COUNT('Gantt 15 semanas'!G24)=0,"",'Gantt 15 semanas'!G24)</f>
        <v>46271</v>
      </c>
      <c r="J21" s="11">
        <f>IF(COUNT('Gantt 15 semanas'!E24)=0,"",'Gantt 15 semanas'!E24)</f>
        <v>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1.5" customHeight="1">
      <c r="A22" s="2"/>
      <c r="B22" s="8" t="s">
        <v>77</v>
      </c>
      <c r="C22" s="8" t="s">
        <v>73</v>
      </c>
      <c r="D22" s="9" t="s">
        <v>78</v>
      </c>
      <c r="E22" s="10">
        <v>10.0</v>
      </c>
      <c r="F22" s="9" t="s">
        <v>79</v>
      </c>
      <c r="G22" s="9" t="s">
        <v>80</v>
      </c>
      <c r="H22" s="14">
        <f>IF(COUNT('Gantt 15 semanas'!F25)=0,"",'Gantt 15 semanas'!F25)</f>
        <v>46293</v>
      </c>
      <c r="I22" s="14">
        <f>IF(COUNT('Gantt 15 semanas'!G25)=0,"",'Gantt 15 semanas'!G25)</f>
        <v>46299</v>
      </c>
      <c r="J22" s="16" t="str">
        <f>IF(COUNT('Gantt 15 semanas'!E25)=0,"",'Gantt 15 semanas'!E25)</f>
        <v/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1.5" customHeight="1">
      <c r="A23" s="2"/>
      <c r="B23" s="1" t="s">
        <v>81</v>
      </c>
      <c r="C23" s="1" t="s">
        <v>82</v>
      </c>
      <c r="D23" s="18" t="s">
        <v>83</v>
      </c>
      <c r="E23" s="10">
        <v>8.0</v>
      </c>
      <c r="F23" s="18" t="s">
        <v>77</v>
      </c>
      <c r="G23" s="18" t="s">
        <v>84</v>
      </c>
      <c r="H23" s="21">
        <f>IF(COUNT('Gantt 15 semanas'!F26)=0,"",'Gantt 15 semanas'!F26)</f>
        <v>46300</v>
      </c>
      <c r="I23" s="21">
        <f>IF(COUNT('Gantt 15 semanas'!G26)=0,"",'Gantt 15 semanas'!G26)</f>
        <v>46306</v>
      </c>
      <c r="J23" s="11" t="str">
        <f>IF(COUNT('Gantt 15 semanas'!E26)=0,"",'Gantt 15 semanas'!E26)</f>
        <v/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1.5" customHeight="1">
      <c r="A24" s="2"/>
      <c r="B24" s="8" t="s">
        <v>85</v>
      </c>
      <c r="C24" s="8" t="s">
        <v>82</v>
      </c>
      <c r="D24" s="9" t="s">
        <v>86</v>
      </c>
      <c r="E24" s="10">
        <v>3.0</v>
      </c>
      <c r="F24" s="9" t="s">
        <v>81</v>
      </c>
      <c r="G24" s="9" t="s">
        <v>87</v>
      </c>
      <c r="H24" s="14">
        <f>IF(COUNT('Gantt 15 semanas'!F27)=0,"",'Gantt 15 semanas'!F27)</f>
        <v>46300</v>
      </c>
      <c r="I24" s="14">
        <f>IF(COUNT('Gantt 15 semanas'!G27)=0,"",'Gantt 15 semanas'!G27)</f>
        <v>46306</v>
      </c>
      <c r="J24" s="16" t="str">
        <f>IF(COUNT('Gantt 15 semanas'!E27)=0,"",'Gantt 15 semanas'!E27)</f>
        <v/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1.5" customHeight="1">
      <c r="A25" s="2"/>
      <c r="B25" s="1" t="s">
        <v>89</v>
      </c>
      <c r="C25" s="1" t="s">
        <v>90</v>
      </c>
      <c r="D25" s="18" t="s">
        <v>91</v>
      </c>
      <c r="E25" s="10">
        <v>6.0</v>
      </c>
      <c r="F25" s="18" t="s">
        <v>92</v>
      </c>
      <c r="G25" s="18" t="s">
        <v>93</v>
      </c>
      <c r="H25" s="21">
        <f>IF(COUNT('Gantt 15 semanas'!F28)=0,"",'Gantt 15 semanas'!F28)</f>
        <v>46300</v>
      </c>
      <c r="I25" s="21">
        <f>IF(COUNT('Gantt 15 semanas'!G28)=0,"",'Gantt 15 semanas'!G28)</f>
        <v>46306</v>
      </c>
      <c r="J25" s="11" t="str">
        <f>IF(COUNT('Gantt 15 semanas'!E28)=0,"",'Gantt 15 semanas'!E28)</f>
        <v/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1.5" customHeight="1">
      <c r="A26" s="2"/>
      <c r="B26" s="8" t="s">
        <v>94</v>
      </c>
      <c r="C26" s="8" t="s">
        <v>90</v>
      </c>
      <c r="D26" s="9" t="s">
        <v>95</v>
      </c>
      <c r="E26" s="10">
        <v>4.0</v>
      </c>
      <c r="F26" s="9" t="s">
        <v>96</v>
      </c>
      <c r="G26" s="9" t="s">
        <v>97</v>
      </c>
      <c r="H26" s="14">
        <f>IF(COUNT('Gantt 15 semanas'!F29)=0,"",'Gantt 15 semanas'!F29)</f>
        <v>46300</v>
      </c>
      <c r="I26" s="14">
        <f>IF(COUNT('Gantt 15 semanas'!G29)=0,"",'Gantt 15 semanas'!G29)</f>
        <v>46306</v>
      </c>
      <c r="J26" s="16" t="str">
        <f>IF(COUNT('Gantt 15 semanas'!E29)=0,"",'Gantt 15 semanas'!E29)</f>
        <v/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1.5" customHeight="1">
      <c r="A27" s="2"/>
      <c r="B27" s="1" t="s">
        <v>99</v>
      </c>
      <c r="C27" s="1" t="s">
        <v>100</v>
      </c>
      <c r="D27" s="18" t="s">
        <v>101</v>
      </c>
      <c r="E27" s="10">
        <v>8.0</v>
      </c>
      <c r="F27" s="18" t="s">
        <v>41</v>
      </c>
      <c r="G27" s="18" t="s">
        <v>102</v>
      </c>
      <c r="H27" s="21">
        <f>IF(COUNT('Gantt 15 semanas'!F31)=0,"",'Gantt 15 semanas'!F31)</f>
        <v>46265</v>
      </c>
      <c r="I27" s="21">
        <f>IF(COUNT('Gantt 15 semanas'!G31)=0,"",'Gantt 15 semanas'!G31)</f>
        <v>46278</v>
      </c>
      <c r="J27" s="11">
        <f>IF(COUNT('Gantt 15 semanas'!E31)=0,"",'Gantt 15 semanas'!E31)</f>
        <v>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1.5" customHeight="1">
      <c r="A28" s="2"/>
      <c r="B28" s="8" t="s">
        <v>103</v>
      </c>
      <c r="C28" s="8" t="s">
        <v>100</v>
      </c>
      <c r="D28" s="9" t="s">
        <v>104</v>
      </c>
      <c r="E28" s="10">
        <v>10.0</v>
      </c>
      <c r="F28" s="9" t="s">
        <v>105</v>
      </c>
      <c r="G28" s="9" t="s">
        <v>106</v>
      </c>
      <c r="H28" s="14" t="str">
        <f t="shared" ref="H28:J28" si="2">IF(COUNT(#REF!)=0,"",#REF!)</f>
        <v/>
      </c>
      <c r="I28" s="14" t="str">
        <f t="shared" si="2"/>
        <v/>
      </c>
      <c r="J28" s="16" t="str">
        <f t="shared" si="2"/>
        <v/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1.5" customHeight="1">
      <c r="A29" s="2"/>
      <c r="B29" s="1" t="s">
        <v>107</v>
      </c>
      <c r="C29" s="1" t="s">
        <v>100</v>
      </c>
      <c r="D29" s="18" t="s">
        <v>108</v>
      </c>
      <c r="E29" s="10">
        <v>6.0</v>
      </c>
      <c r="F29" s="18" t="s">
        <v>103</v>
      </c>
      <c r="G29" s="18" t="s">
        <v>110</v>
      </c>
      <c r="H29" s="21">
        <f>IF(COUNT('Gantt 15 semanas'!F34)=0,"",'Gantt 15 semanas'!F34)</f>
        <v>46307</v>
      </c>
      <c r="I29" s="21">
        <f>IF(COUNT('Gantt 15 semanas'!G34)=0,"",'Gantt 15 semanas'!G34)</f>
        <v>46320</v>
      </c>
      <c r="J29" s="11" t="str">
        <f>IF(COUNT('Gantt 15 semanas'!E34)=0,"",'Gantt 15 semanas'!E34)</f>
        <v/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1.5" customHeight="1">
      <c r="A30" s="2"/>
      <c r="B30" s="8" t="s">
        <v>111</v>
      </c>
      <c r="C30" s="8" t="s">
        <v>112</v>
      </c>
      <c r="D30" s="9" t="s">
        <v>113</v>
      </c>
      <c r="E30" s="10">
        <v>6.0</v>
      </c>
      <c r="F30" s="9" t="s">
        <v>107</v>
      </c>
      <c r="G30" s="9" t="s">
        <v>114</v>
      </c>
      <c r="H30" s="14">
        <f>IF(COUNT('Gantt 15 semanas'!F35)=0,"",'Gantt 15 semanas'!F35)</f>
        <v>46314</v>
      </c>
      <c r="I30" s="14">
        <f>IF(COUNT('Gantt 15 semanas'!G35)=0,"",'Gantt 15 semanas'!G35)</f>
        <v>46327</v>
      </c>
      <c r="J30" s="16" t="str">
        <f>IF(COUNT('Gantt 15 semanas'!E35)=0,"",'Gantt 15 semanas'!E35)</f>
        <v/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1.5" customHeight="1">
      <c r="A31" s="2"/>
      <c r="B31" s="1" t="s">
        <v>115</v>
      </c>
      <c r="C31" s="1" t="s">
        <v>116</v>
      </c>
      <c r="D31" s="18" t="s">
        <v>117</v>
      </c>
      <c r="E31" s="10">
        <v>6.0</v>
      </c>
      <c r="F31" s="18" t="s">
        <v>111</v>
      </c>
      <c r="G31" s="18" t="s">
        <v>118</v>
      </c>
      <c r="H31" s="21">
        <f>IF(COUNT('Gantt 15 semanas'!F37)=0,"",'Gantt 15 semanas'!F37)</f>
        <v>46328</v>
      </c>
      <c r="I31" s="21">
        <f>IF(COUNT('Gantt 15 semanas'!G37)=0,"",'Gantt 15 semanas'!G37)</f>
        <v>46334</v>
      </c>
      <c r="J31" s="11" t="str">
        <f>IF(COUNT('Gantt 15 semanas'!E37)=0,"",'Gantt 15 semanas'!E37)</f>
        <v/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1.5" customHeight="1">
      <c r="A32" s="2"/>
      <c r="B32" s="8" t="s">
        <v>120</v>
      </c>
      <c r="C32" s="8" t="s">
        <v>121</v>
      </c>
      <c r="D32" s="9" t="s">
        <v>122</v>
      </c>
      <c r="E32" s="10">
        <v>8.0</v>
      </c>
      <c r="F32" s="9" t="s">
        <v>123</v>
      </c>
      <c r="G32" s="9" t="s">
        <v>124</v>
      </c>
      <c r="H32" s="14">
        <f>IF(COUNT('Gantt 15 semanas'!F40)=0,"",'Gantt 15 semanas'!F40)</f>
        <v>46307</v>
      </c>
      <c r="I32" s="14">
        <f>IF(COUNT('Gantt 15 semanas'!G40)=0,"",'Gantt 15 semanas'!G40)</f>
        <v>46313</v>
      </c>
      <c r="J32" s="16" t="str">
        <f>IF(COUNT('Gantt 15 semanas'!E40)=0,"",'Gantt 15 semanas'!E40)</f>
        <v/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1.5" customHeight="1">
      <c r="A33" s="2"/>
      <c r="B33" s="1" t="s">
        <v>125</v>
      </c>
      <c r="C33" s="1" t="s">
        <v>126</v>
      </c>
      <c r="D33" s="18" t="s">
        <v>127</v>
      </c>
      <c r="E33" s="10">
        <v>8.0</v>
      </c>
      <c r="F33" s="18" t="s">
        <v>128</v>
      </c>
      <c r="G33" s="18" t="s">
        <v>129</v>
      </c>
      <c r="H33" s="21">
        <f>IF(COUNT('Gantt 15 semanas'!F42)=0,"",'Gantt 15 semanas'!F42)</f>
        <v>46314</v>
      </c>
      <c r="I33" s="21">
        <f>IF(COUNT('Gantt 15 semanas'!G42)=0,"",'Gantt 15 semanas'!G42)</f>
        <v>46327</v>
      </c>
      <c r="J33" s="11" t="str">
        <f>IF(COUNT('Gantt 15 semanas'!E42)=0,"",'Gantt 15 semanas'!E42)</f>
        <v/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1.5" customHeight="1">
      <c r="A34" s="2"/>
      <c r="B34" s="8" t="s">
        <v>130</v>
      </c>
      <c r="C34" s="8" t="s">
        <v>131</v>
      </c>
      <c r="D34" s="9" t="s">
        <v>132</v>
      </c>
      <c r="E34" s="10">
        <v>6.0</v>
      </c>
      <c r="F34" s="9" t="s">
        <v>125</v>
      </c>
      <c r="G34" s="9" t="s">
        <v>134</v>
      </c>
      <c r="H34" s="14">
        <f>IF(COUNT('Gantt 15 semanas'!F43)=0,"",'Gantt 15 semanas'!F43)</f>
        <v>46321</v>
      </c>
      <c r="I34" s="14">
        <f>IF(COUNT('Gantt 15 semanas'!G43)=0,"",'Gantt 15 semanas'!G43)</f>
        <v>46334</v>
      </c>
      <c r="J34" s="16" t="str">
        <f>IF(COUNT('Gantt 15 semanas'!E43)=0,"",'Gantt 15 semanas'!E43)</f>
        <v/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1.5" customHeight="1">
      <c r="A35" s="2"/>
      <c r="B35" s="1" t="s">
        <v>135</v>
      </c>
      <c r="C35" s="1" t="s">
        <v>136</v>
      </c>
      <c r="D35" s="18" t="s">
        <v>137</v>
      </c>
      <c r="E35" s="10">
        <v>5.0</v>
      </c>
      <c r="F35" s="18" t="s">
        <v>99</v>
      </c>
      <c r="G35" s="18" t="s">
        <v>138</v>
      </c>
      <c r="H35" s="21">
        <f>IF(COUNT('Gantt 15 semanas'!F45)=0,"",'Gantt 15 semanas'!F45)</f>
        <v>46272</v>
      </c>
      <c r="I35" s="21">
        <f>IF(COUNT('Gantt 15 semanas'!G45)=0,"",'Gantt 15 semanas'!G45)</f>
        <v>46285</v>
      </c>
      <c r="J35" s="11">
        <f>IF(COUNT('Gantt 15 semanas'!E45)=0,"",'Gantt 15 semanas'!E45)</f>
        <v>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1.5" customHeight="1">
      <c r="A36" s="2"/>
      <c r="B36" s="8" t="s">
        <v>139</v>
      </c>
      <c r="C36" s="8" t="s">
        <v>136</v>
      </c>
      <c r="D36" s="9" t="s">
        <v>140</v>
      </c>
      <c r="E36" s="10">
        <v>8.0</v>
      </c>
      <c r="F36" s="9" t="s">
        <v>135</v>
      </c>
      <c r="G36" s="9" t="s">
        <v>141</v>
      </c>
      <c r="H36" s="14">
        <f>IF(COUNT('Gantt 15 semanas'!F47)=0,"",'Gantt 15 semanas'!F47)</f>
        <v>46286</v>
      </c>
      <c r="I36" s="14">
        <f>IF(COUNT('Gantt 15 semanas'!G47)=0,"",'Gantt 15 semanas'!G47)</f>
        <v>46299</v>
      </c>
      <c r="J36" s="16" t="str">
        <f>IF(COUNT('Gantt 15 semanas'!E47)=0,"",'Gantt 15 semanas'!E47)</f>
        <v/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1.5" customHeight="1">
      <c r="A37" s="2"/>
      <c r="B37" s="1" t="s">
        <v>143</v>
      </c>
      <c r="C37" s="1" t="s">
        <v>136</v>
      </c>
      <c r="D37" s="18" t="s">
        <v>144</v>
      </c>
      <c r="E37" s="10">
        <v>8.0</v>
      </c>
      <c r="F37" s="18" t="s">
        <v>145</v>
      </c>
      <c r="G37" s="18" t="s">
        <v>146</v>
      </c>
      <c r="H37" s="21">
        <f>IF(COUNT('Gantt 15 semanas'!F48)=0,"",'Gantt 15 semanas'!F48)</f>
        <v>46293</v>
      </c>
      <c r="I37" s="21">
        <f>IF(COUNT('Gantt 15 semanas'!G48)=0,"",'Gantt 15 semanas'!G48)</f>
        <v>46299</v>
      </c>
      <c r="J37" s="11" t="str">
        <f>IF(COUNT('Gantt 15 semanas'!E48)=0,"",'Gantt 15 semanas'!E48)</f>
        <v/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1.5" customHeight="1">
      <c r="A38" s="2"/>
      <c r="B38" s="8" t="s">
        <v>147</v>
      </c>
      <c r="C38" s="8" t="s">
        <v>148</v>
      </c>
      <c r="D38" s="9" t="s">
        <v>149</v>
      </c>
      <c r="E38" s="10">
        <v>8.0</v>
      </c>
      <c r="F38" s="9" t="s">
        <v>150</v>
      </c>
      <c r="G38" s="9" t="s">
        <v>151</v>
      </c>
      <c r="H38" s="14">
        <f>IF(COUNT('Gantt 15 semanas'!F49)=0,"",'Gantt 15 semanas'!F49)</f>
        <v>46293</v>
      </c>
      <c r="I38" s="14">
        <f>IF(COUNT('Gantt 15 semanas'!G49)=0,"",'Gantt 15 semanas'!G49)</f>
        <v>46306</v>
      </c>
      <c r="J38" s="16" t="str">
        <f>IF(COUNT('Gantt 15 semanas'!E49)=0,"",'Gantt 15 semanas'!E49)</f>
        <v/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1.5" customHeight="1">
      <c r="A39" s="2"/>
      <c r="B39" s="1" t="s">
        <v>153</v>
      </c>
      <c r="C39" s="1" t="s">
        <v>154</v>
      </c>
      <c r="D39" s="18" t="s">
        <v>155</v>
      </c>
      <c r="E39" s="10">
        <v>10.0</v>
      </c>
      <c r="F39" s="18" t="s">
        <v>156</v>
      </c>
      <c r="G39" s="18" t="s">
        <v>157</v>
      </c>
      <c r="H39" s="21">
        <f>IF(COUNT('Gantt 15 semanas'!F50)=0,"",'Gantt 15 semanas'!F50)</f>
        <v>46300</v>
      </c>
      <c r="I39" s="21">
        <f>IF(COUNT('Gantt 15 semanas'!G50)=0,"",'Gantt 15 semanas'!G50)</f>
        <v>46306</v>
      </c>
      <c r="J39" s="11" t="str">
        <f>IF(COUNT('Gantt 15 semanas'!E50)=0,"",'Gantt 15 semanas'!E50)</f>
        <v/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1.5" customHeight="1">
      <c r="A40" s="2"/>
      <c r="B40" s="8" t="s">
        <v>158</v>
      </c>
      <c r="C40" s="8" t="s">
        <v>159</v>
      </c>
      <c r="D40" s="9" t="s">
        <v>160</v>
      </c>
      <c r="E40" s="10">
        <v>8.0</v>
      </c>
      <c r="F40" s="9" t="s">
        <v>161</v>
      </c>
      <c r="G40" s="9" t="s">
        <v>162</v>
      </c>
      <c r="H40" s="14">
        <f>IF(COUNT('Gantt 15 semanas'!F54)=0,"",'Gantt 15 semanas'!F54)</f>
        <v>46307</v>
      </c>
      <c r="I40" s="14">
        <f>IF(COUNT('Gantt 15 semanas'!G54)=0,"",'Gantt 15 semanas'!G54)</f>
        <v>46313</v>
      </c>
      <c r="J40" s="16" t="str">
        <f>IF(COUNT('Gantt 15 semanas'!E54)=0,"",'Gantt 15 semanas'!E54)</f>
        <v/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1.5" customHeight="1">
      <c r="A41" s="2"/>
      <c r="B41" s="1" t="s">
        <v>164</v>
      </c>
      <c r="C41" s="1" t="s">
        <v>159</v>
      </c>
      <c r="D41" s="18" t="s">
        <v>165</v>
      </c>
      <c r="E41" s="10">
        <v>14.0</v>
      </c>
      <c r="F41" s="18" t="s">
        <v>158</v>
      </c>
      <c r="G41" s="18" t="s">
        <v>166</v>
      </c>
      <c r="H41" s="21">
        <f>IF(COUNT('Gantt 15 semanas'!F55)=0,"",'Gantt 15 semanas'!F55)</f>
        <v>46307</v>
      </c>
      <c r="I41" s="21">
        <f>IF(COUNT('Gantt 15 semanas'!G55)=0,"",'Gantt 15 semanas'!G55)</f>
        <v>46320</v>
      </c>
      <c r="J41" s="11" t="str">
        <f>IF(COUNT('Gantt 15 semanas'!E55)=0,"",'Gantt 15 semanas'!E55)</f>
        <v/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1.5" customHeight="1">
      <c r="A42" s="2"/>
      <c r="B42" s="8" t="s">
        <v>167</v>
      </c>
      <c r="C42" s="8" t="s">
        <v>168</v>
      </c>
      <c r="D42" s="9" t="s">
        <v>169</v>
      </c>
      <c r="E42" s="10">
        <v>7.0</v>
      </c>
      <c r="F42" s="9" t="s">
        <v>164</v>
      </c>
      <c r="G42" s="9" t="s">
        <v>170</v>
      </c>
      <c r="H42" s="14">
        <f>IF(COUNT('Gantt 15 semanas'!F56)=0,"",'Gantt 15 semanas'!F56)</f>
        <v>46314</v>
      </c>
      <c r="I42" s="14">
        <f>IF(COUNT('Gantt 15 semanas'!G56)=0,"",'Gantt 15 semanas'!G56)</f>
        <v>46320</v>
      </c>
      <c r="J42" s="16" t="str">
        <f>IF(COUNT('Gantt 15 semanas'!E56)=0,"",'Gantt 15 semanas'!E56)</f>
        <v/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1.5" customHeight="1">
      <c r="A43" s="2"/>
      <c r="B43" s="1" t="s">
        <v>172</v>
      </c>
      <c r="C43" s="1" t="s">
        <v>173</v>
      </c>
      <c r="D43" s="18" t="s">
        <v>174</v>
      </c>
      <c r="E43" s="10">
        <v>5.0</v>
      </c>
      <c r="F43" s="18" t="s">
        <v>167</v>
      </c>
      <c r="G43" s="18" t="s">
        <v>175</v>
      </c>
      <c r="H43" s="21">
        <f>IF(COUNT('Gantt 15 semanas'!F57)=0,"",'Gantt 15 semanas'!F57)</f>
        <v>46321</v>
      </c>
      <c r="I43" s="21">
        <f>IF(COUNT('Gantt 15 semanas'!G57)=0,"",'Gantt 15 semanas'!G57)</f>
        <v>46327</v>
      </c>
      <c r="J43" s="11" t="str">
        <f>IF(COUNT('Gantt 15 semanas'!E57)=0,"",'Gantt 15 semanas'!E57)</f>
        <v/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1.5" customHeight="1">
      <c r="A44" s="2"/>
      <c r="B44" s="8" t="s">
        <v>176</v>
      </c>
      <c r="C44" s="8" t="s">
        <v>177</v>
      </c>
      <c r="D44" s="9" t="s">
        <v>178</v>
      </c>
      <c r="E44" s="10">
        <v>9.0</v>
      </c>
      <c r="F44" s="9" t="s">
        <v>172</v>
      </c>
      <c r="G44" s="9" t="s">
        <v>179</v>
      </c>
      <c r="H44" s="14">
        <f>IF(COUNT('Gantt 15 semanas'!F58)=0,"",'Gantt 15 semanas'!F58)</f>
        <v>46321</v>
      </c>
      <c r="I44" s="14">
        <f>IF(COUNT('Gantt 15 semanas'!G58)=0,"",'Gantt 15 semanas'!G58)</f>
        <v>46327</v>
      </c>
      <c r="J44" s="16" t="str">
        <f>IF(COUNT('Gantt 15 semanas'!E58)=0,"",'Gantt 15 semanas'!E58)</f>
        <v/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1.5" customHeight="1">
      <c r="A45" s="2"/>
      <c r="B45" s="1" t="s">
        <v>180</v>
      </c>
      <c r="C45" s="1" t="s">
        <v>168</v>
      </c>
      <c r="D45" s="18" t="s">
        <v>181</v>
      </c>
      <c r="E45" s="10">
        <v>7.0</v>
      </c>
      <c r="F45" s="18" t="s">
        <v>176</v>
      </c>
      <c r="G45" s="18" t="s">
        <v>182</v>
      </c>
      <c r="H45" s="21">
        <f>IF(COUNT('Gantt 15 semanas'!F59)=0,"",'Gantt 15 semanas'!F59)</f>
        <v>46328</v>
      </c>
      <c r="I45" s="21">
        <f>IF(COUNT('Gantt 15 semanas'!G59)=0,"",'Gantt 15 semanas'!G59)</f>
        <v>46334</v>
      </c>
      <c r="J45" s="11" t="str">
        <f>IF(COUNT('Gantt 15 semanas'!E59)=0,"",'Gantt 15 semanas'!E59)</f>
        <v/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1.5" customHeight="1">
      <c r="A46" s="2"/>
      <c r="B46" s="8" t="s">
        <v>183</v>
      </c>
      <c r="C46" s="8" t="s">
        <v>173</v>
      </c>
      <c r="D46" s="9" t="s">
        <v>184</v>
      </c>
      <c r="E46" s="10">
        <v>3.0</v>
      </c>
      <c r="F46" s="9" t="s">
        <v>180</v>
      </c>
      <c r="G46" s="9" t="s">
        <v>185</v>
      </c>
      <c r="H46" s="14">
        <f>IF(COUNT('Gantt 15 semanas'!F60)=0,"",'Gantt 15 semanas'!F60)</f>
        <v>46328</v>
      </c>
      <c r="I46" s="14">
        <f>IF(COUNT('Gantt 15 semanas'!G60)=0,"",'Gantt 15 semanas'!G60)</f>
        <v>46334</v>
      </c>
      <c r="J46" s="16" t="str">
        <f>IF(COUNT('Gantt 15 semanas'!E60)=0,"",'Gantt 15 semanas'!E60)</f>
        <v/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1.5" customHeight="1">
      <c r="A47" s="2"/>
      <c r="B47" s="1" t="s">
        <v>187</v>
      </c>
      <c r="C47" s="1" t="s">
        <v>177</v>
      </c>
      <c r="D47" s="18" t="s">
        <v>188</v>
      </c>
      <c r="E47" s="10">
        <v>7.0</v>
      </c>
      <c r="F47" s="18" t="s">
        <v>183</v>
      </c>
      <c r="G47" s="18" t="s">
        <v>189</v>
      </c>
      <c r="H47" s="21">
        <f>IF(COUNT('Gantt 15 semanas'!F61)=0,"",'Gantt 15 semanas'!F61)</f>
        <v>46335</v>
      </c>
      <c r="I47" s="21">
        <f>IF(COUNT('Gantt 15 semanas'!G61)=0,"",'Gantt 15 semanas'!G61)</f>
        <v>46341</v>
      </c>
      <c r="J47" s="11" t="str">
        <f>IF(COUNT('Gantt 15 semanas'!E61)=0,"",'Gantt 15 semanas'!E61)</f>
        <v/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1.5" customHeight="1">
      <c r="A48" s="2"/>
      <c r="B48" s="8" t="s">
        <v>190</v>
      </c>
      <c r="C48" s="8" t="s">
        <v>191</v>
      </c>
      <c r="D48" s="9" t="s">
        <v>192</v>
      </c>
      <c r="E48" s="10">
        <v>7.0</v>
      </c>
      <c r="F48" s="9" t="s">
        <v>193</v>
      </c>
      <c r="G48" s="9" t="s">
        <v>194</v>
      </c>
      <c r="H48" s="14">
        <f>IF(COUNT('Gantt 15 semanas'!F62)=0,"",'Gantt 15 semanas'!F62)</f>
        <v>46335</v>
      </c>
      <c r="I48" s="14">
        <f>IF(COUNT('Gantt 15 semanas'!G62)=0,"",'Gantt 15 semanas'!G62)</f>
        <v>46341</v>
      </c>
      <c r="J48" s="16" t="str">
        <f>IF(COUNT('Gantt 15 semanas'!E62)=0,"",'Gantt 15 semanas'!E62)</f>
        <v/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1.5" customHeight="1">
      <c r="A49" s="2"/>
      <c r="B49" s="1" t="s">
        <v>196</v>
      </c>
      <c r="C49" s="1" t="s">
        <v>197</v>
      </c>
      <c r="D49" s="18" t="s">
        <v>198</v>
      </c>
      <c r="E49" s="10">
        <v>4.0</v>
      </c>
      <c r="F49" s="18" t="s">
        <v>41</v>
      </c>
      <c r="G49" s="18" t="s">
        <v>199</v>
      </c>
      <c r="H49" s="21">
        <f>IF(COUNT('Gantt 15 semanas'!F64)=0,"",'Gantt 15 semanas'!F64)</f>
        <v>46286</v>
      </c>
      <c r="I49" s="21">
        <f>IF(COUNT('Gantt 15 semanas'!G64)=0,"",'Gantt 15 semanas'!G64)</f>
        <v>46292</v>
      </c>
      <c r="J49" s="11" t="str">
        <f>IF(COUNT('Gantt 15 semanas'!E64)=0,"",'Gantt 15 semanas'!E64)</f>
        <v/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1.5" customHeight="1">
      <c r="A50" s="2"/>
      <c r="B50" s="8" t="s">
        <v>200</v>
      </c>
      <c r="C50" s="8" t="s">
        <v>197</v>
      </c>
      <c r="D50" s="9" t="s">
        <v>201</v>
      </c>
      <c r="E50" s="10">
        <v>8.0</v>
      </c>
      <c r="F50" s="9" t="s">
        <v>196</v>
      </c>
      <c r="G50" s="9" t="s">
        <v>202</v>
      </c>
      <c r="H50" s="14">
        <f>IF(COUNT('Gantt 15 semanas'!F65)=0,"",'Gantt 15 semanas'!F65)</f>
        <v>46293</v>
      </c>
      <c r="I50" s="14">
        <f>IF(COUNT('Gantt 15 semanas'!G65)=0,"",'Gantt 15 semanas'!G65)</f>
        <v>46299</v>
      </c>
      <c r="J50" s="16" t="str">
        <f>IF(COUNT('Gantt 15 semanas'!E65)=0,"",'Gantt 15 semanas'!E65)</f>
        <v/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1.5" customHeight="1">
      <c r="A51" s="2"/>
      <c r="B51" s="1" t="s">
        <v>203</v>
      </c>
      <c r="C51" s="1" t="s">
        <v>197</v>
      </c>
      <c r="D51" s="18" t="s">
        <v>204</v>
      </c>
      <c r="E51" s="10">
        <v>6.0</v>
      </c>
      <c r="F51" s="18" t="s">
        <v>200</v>
      </c>
      <c r="G51" s="18" t="s">
        <v>205</v>
      </c>
      <c r="H51" s="21">
        <f>IF(COUNT('Gantt 15 semanas'!F66)=0,"",'Gantt 15 semanas'!F66)</f>
        <v>46300</v>
      </c>
      <c r="I51" s="21">
        <f>IF(COUNT('Gantt 15 semanas'!G66)=0,"",'Gantt 15 semanas'!G66)</f>
        <v>46306</v>
      </c>
      <c r="J51" s="11" t="str">
        <f>IF(COUNT('Gantt 15 semanas'!E66)=0,"",'Gantt 15 semanas'!E66)</f>
        <v/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1.5" customHeight="1">
      <c r="A52" s="2"/>
      <c r="B52" s="8" t="s">
        <v>206</v>
      </c>
      <c r="C52" s="8" t="s">
        <v>207</v>
      </c>
      <c r="D52" s="9" t="s">
        <v>208</v>
      </c>
      <c r="E52" s="10">
        <v>8.0</v>
      </c>
      <c r="F52" s="9" t="s">
        <v>209</v>
      </c>
      <c r="G52" s="9" t="s">
        <v>210</v>
      </c>
      <c r="H52" s="14">
        <f>IF(COUNT('Gantt 15 semanas'!F67)=0,"",'Gantt 15 semanas'!F67)</f>
        <v>46314</v>
      </c>
      <c r="I52" s="14">
        <f>IF(COUNT('Gantt 15 semanas'!G67)=0,"",'Gantt 15 semanas'!G67)</f>
        <v>46320</v>
      </c>
      <c r="J52" s="16" t="str">
        <f>IF(COUNT('Gantt 15 semanas'!E67)=0,"",'Gantt 15 semanas'!E67)</f>
        <v/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1.5" customHeight="1">
      <c r="A53" s="2"/>
      <c r="B53" s="1" t="s">
        <v>211</v>
      </c>
      <c r="C53" s="1" t="s">
        <v>212</v>
      </c>
      <c r="D53" s="18" t="s">
        <v>213</v>
      </c>
      <c r="E53" s="10">
        <v>6.0</v>
      </c>
      <c r="F53" s="18" t="s">
        <v>214</v>
      </c>
      <c r="G53" s="18" t="s">
        <v>215</v>
      </c>
      <c r="H53" s="21">
        <f>IF(COUNT('Gantt 15 semanas'!F68)=0,"",'Gantt 15 semanas'!F68)</f>
        <v>46321</v>
      </c>
      <c r="I53" s="21">
        <f>IF(COUNT('Gantt 15 semanas'!G68)=0,"",'Gantt 15 semanas'!G68)</f>
        <v>46327</v>
      </c>
      <c r="J53" s="11" t="str">
        <f>IF(COUNT('Gantt 15 semanas'!E68)=0,"",'Gantt 15 semanas'!E68)</f>
        <v/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1.5" customHeight="1">
      <c r="A54" s="2"/>
      <c r="B54" s="8" t="s">
        <v>217</v>
      </c>
      <c r="C54" s="8" t="s">
        <v>218</v>
      </c>
      <c r="D54" s="9" t="s">
        <v>219</v>
      </c>
      <c r="E54" s="10">
        <v>5.0</v>
      </c>
      <c r="F54" s="9" t="s">
        <v>135</v>
      </c>
      <c r="G54" s="9" t="s">
        <v>220</v>
      </c>
      <c r="H54" s="14">
        <f>IF(COUNT('Gantt 15 semanas'!F70)=0,"",'Gantt 15 semanas'!F70)</f>
        <v>46314</v>
      </c>
      <c r="I54" s="14">
        <f>IF(COUNT('Gantt 15 semanas'!G70)=0,"",'Gantt 15 semanas'!G70)</f>
        <v>46320</v>
      </c>
      <c r="J54" s="16" t="str">
        <f>IF(COUNT('Gantt 15 semanas'!E70)=0,"",'Gantt 15 semanas'!E70)</f>
        <v/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1.5" customHeight="1">
      <c r="A55" s="2"/>
      <c r="B55" s="1" t="s">
        <v>223</v>
      </c>
      <c r="C55" s="1" t="s">
        <v>224</v>
      </c>
      <c r="D55" s="18" t="s">
        <v>225</v>
      </c>
      <c r="E55" s="10">
        <v>10.0</v>
      </c>
      <c r="F55" s="18" t="s">
        <v>227</v>
      </c>
      <c r="G55" s="18" t="s">
        <v>228</v>
      </c>
      <c r="H55" s="21">
        <f>IF(COUNT('Gantt 15 semanas'!F71)=0,"",'Gantt 15 semanas'!F71)</f>
        <v>46328</v>
      </c>
      <c r="I55" s="21">
        <f>IF(COUNT('Gantt 15 semanas'!G71)=0,"",'Gantt 15 semanas'!G71)</f>
        <v>46334</v>
      </c>
      <c r="J55" s="11" t="str">
        <f>IF(COUNT('Gantt 15 semanas'!E71)=0,"",'Gantt 15 semanas'!E71)</f>
        <v/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1.5" customHeight="1">
      <c r="A56" s="2"/>
      <c r="B56" s="8" t="s">
        <v>229</v>
      </c>
      <c r="C56" s="8" t="s">
        <v>218</v>
      </c>
      <c r="D56" s="9" t="s">
        <v>230</v>
      </c>
      <c r="E56" s="10">
        <v>6.0</v>
      </c>
      <c r="F56" s="9" t="s">
        <v>231</v>
      </c>
      <c r="G56" s="9" t="s">
        <v>232</v>
      </c>
      <c r="H56" s="14">
        <f>IF(COUNT('Gantt 15 semanas'!F72)=0,"",'Gantt 15 semanas'!F72)</f>
        <v>46328</v>
      </c>
      <c r="I56" s="14">
        <f>IF(COUNT('Gantt 15 semanas'!G72)=0,"",'Gantt 15 semanas'!G72)</f>
        <v>46334</v>
      </c>
      <c r="J56" s="16" t="str">
        <f>IF(COUNT('Gantt 15 semanas'!E72)=0,"",'Gantt 15 semanas'!E72)</f>
        <v/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1.5" customHeight="1">
      <c r="A57" s="2"/>
      <c r="B57" s="1" t="s">
        <v>233</v>
      </c>
      <c r="C57" s="1" t="s">
        <v>224</v>
      </c>
      <c r="D57" s="18" t="s">
        <v>234</v>
      </c>
      <c r="E57" s="10">
        <v>10.0</v>
      </c>
      <c r="F57" s="18" t="s">
        <v>229</v>
      </c>
      <c r="G57" s="18" t="s">
        <v>235</v>
      </c>
      <c r="H57" s="21">
        <f>IF(COUNT('Gantt 15 semanas'!F73)=0,"",'Gantt 15 semanas'!F73)</f>
        <v>46328</v>
      </c>
      <c r="I57" s="21">
        <f>IF(COUNT('Gantt 15 semanas'!G73)=0,"",'Gantt 15 semanas'!G73)</f>
        <v>46334</v>
      </c>
      <c r="J57" s="11" t="str">
        <f>IF(COUNT('Gantt 15 semanas'!E73)=0,"",'Gantt 15 semanas'!E73)</f>
        <v/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1.5" customHeight="1">
      <c r="A58" s="2"/>
      <c r="B58" s="8" t="s">
        <v>236</v>
      </c>
      <c r="C58" s="8" t="s">
        <v>237</v>
      </c>
      <c r="D58" s="9" t="s">
        <v>238</v>
      </c>
      <c r="E58" s="10">
        <v>12.0</v>
      </c>
      <c r="F58" s="9" t="s">
        <v>233</v>
      </c>
      <c r="G58" s="9" t="s">
        <v>239</v>
      </c>
      <c r="H58" s="14">
        <f>IF(COUNT('Gantt 15 semanas'!F74)=0,"",'Gantt 15 semanas'!F74)</f>
        <v>46335</v>
      </c>
      <c r="I58" s="14">
        <f>IF(COUNT('Gantt 15 semanas'!G74)=0,"",'Gantt 15 semanas'!G74)</f>
        <v>46341</v>
      </c>
      <c r="J58" s="16" t="str">
        <f>IF(COUNT('Gantt 15 semanas'!E74)=0,"",'Gantt 15 semanas'!E74)</f>
        <v/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1.5" customHeight="1">
      <c r="A59" s="2"/>
      <c r="B59" s="1" t="s">
        <v>240</v>
      </c>
      <c r="C59" s="1" t="s">
        <v>241</v>
      </c>
      <c r="D59" s="18" t="s">
        <v>242</v>
      </c>
      <c r="E59" s="10">
        <v>8.0</v>
      </c>
      <c r="F59" s="18" t="s">
        <v>236</v>
      </c>
      <c r="G59" s="18" t="s">
        <v>243</v>
      </c>
      <c r="H59" s="21">
        <f>IF(COUNT('Gantt 15 semanas'!F75)=0,"",'Gantt 15 semanas'!F75)</f>
        <v>46335</v>
      </c>
      <c r="I59" s="21">
        <f>IF(COUNT('Gantt 15 semanas'!G75)=0,"",'Gantt 15 semanas'!G75)</f>
        <v>46341</v>
      </c>
      <c r="J59" s="11" t="str">
        <f>IF(COUNT('Gantt 15 semanas'!E75)=0,"",'Gantt 15 semanas'!E75)</f>
        <v/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1.5" customHeight="1">
      <c r="A60" s="2"/>
      <c r="B60" s="8" t="s">
        <v>244</v>
      </c>
      <c r="C60" s="8" t="s">
        <v>241</v>
      </c>
      <c r="D60" s="9" t="s">
        <v>245</v>
      </c>
      <c r="E60" s="10">
        <v>7.0</v>
      </c>
      <c r="F60" s="9" t="s">
        <v>229</v>
      </c>
      <c r="G60" s="9" t="s">
        <v>246</v>
      </c>
      <c r="H60" s="14">
        <f>IF(COUNT('Gantt 15 semanas'!F76)=0,"",'Gantt 15 semanas'!F76)</f>
        <v>46335</v>
      </c>
      <c r="I60" s="14">
        <f>IF(COUNT('Gantt 15 semanas'!G76)=0,"",'Gantt 15 semanas'!G76)</f>
        <v>46341</v>
      </c>
      <c r="J60" s="16" t="str">
        <f>IF(COUNT('Gantt 15 semanas'!E76)=0,"",'Gantt 15 semanas'!E76)</f>
        <v/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1.5" customHeight="1">
      <c r="A61" s="2"/>
      <c r="B61" s="1" t="s">
        <v>247</v>
      </c>
      <c r="C61" s="1" t="s">
        <v>241</v>
      </c>
      <c r="D61" s="18" t="s">
        <v>248</v>
      </c>
      <c r="E61" s="10">
        <v>6.0</v>
      </c>
      <c r="F61" s="18" t="s">
        <v>249</v>
      </c>
      <c r="G61" s="18" t="s">
        <v>250</v>
      </c>
      <c r="H61" s="21">
        <f>IF(COUNT('Gantt 15 semanas'!F77)=0,"",'Gantt 15 semanas'!F77)</f>
        <v>46342</v>
      </c>
      <c r="I61" s="21">
        <f>IF(COUNT('Gantt 15 semanas'!G77)=0,"",'Gantt 15 semanas'!G77)</f>
        <v>46348</v>
      </c>
      <c r="J61" s="11" t="str">
        <f>IF(COUNT('Gantt 15 semanas'!E77)=0,"",'Gantt 15 semanas'!E77)</f>
        <v/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1.5" customHeight="1">
      <c r="A62" s="2"/>
      <c r="B62" s="8" t="s">
        <v>251</v>
      </c>
      <c r="C62" s="8" t="s">
        <v>252</v>
      </c>
      <c r="D62" s="9" t="s">
        <v>253</v>
      </c>
      <c r="E62" s="10">
        <v>7.0</v>
      </c>
      <c r="F62" s="9" t="s">
        <v>254</v>
      </c>
      <c r="G62" s="9" t="s">
        <v>255</v>
      </c>
      <c r="H62" s="14">
        <f>IF(COUNT('Gantt 15 semanas'!F78)=0,"",'Gantt 15 semanas'!F78)</f>
        <v>46342</v>
      </c>
      <c r="I62" s="14">
        <f>IF(COUNT('Gantt 15 semanas'!G78)=0,"",'Gantt 15 semanas'!G78)</f>
        <v>46348</v>
      </c>
      <c r="J62" s="16" t="str">
        <f>IF(COUNT('Gantt 15 semanas'!E78)=0,"",'Gantt 15 semanas'!E78)</f>
        <v/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1.5" customHeight="1">
      <c r="A63" s="2"/>
      <c r="B63" s="1" t="s">
        <v>257</v>
      </c>
      <c r="C63" s="1" t="s">
        <v>258</v>
      </c>
      <c r="D63" s="18" t="s">
        <v>259</v>
      </c>
      <c r="E63" s="10">
        <v>5.0</v>
      </c>
      <c r="F63" s="18" t="s">
        <v>233</v>
      </c>
      <c r="G63" s="18" t="s">
        <v>260</v>
      </c>
      <c r="H63" s="21">
        <f>IF(COUNT('Gantt 15 semanas'!F79)=0,"",'Gantt 15 semanas'!F79)</f>
        <v>46349</v>
      </c>
      <c r="I63" s="21">
        <f>IF(COUNT('Gantt 15 semanas'!G79)=0,"",'Gantt 15 semanas'!G79)</f>
        <v>46355</v>
      </c>
      <c r="J63" s="11" t="str">
        <f>IF(COUNT('Gantt 15 semanas'!E79)=0,"",'Gantt 15 semanas'!E79)</f>
        <v/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1.5" customHeight="1">
      <c r="A64" s="2"/>
      <c r="B64" s="8" t="s">
        <v>261</v>
      </c>
      <c r="C64" s="8" t="s">
        <v>237</v>
      </c>
      <c r="D64" s="9" t="s">
        <v>262</v>
      </c>
      <c r="E64" s="10">
        <v>8.0</v>
      </c>
      <c r="F64" s="9" t="s">
        <v>263</v>
      </c>
      <c r="G64" s="9" t="s">
        <v>264</v>
      </c>
      <c r="H64" s="14">
        <f>IF(COUNT('Gantt 15 semanas'!F80)=0,"",'Gantt 15 semanas'!F80)</f>
        <v>46349</v>
      </c>
      <c r="I64" s="14">
        <f>IF(COUNT('Gantt 15 semanas'!G80)=0,"",'Gantt 15 semanas'!G80)</f>
        <v>46355</v>
      </c>
      <c r="J64" s="16" t="str">
        <f>IF(COUNT('Gantt 15 semanas'!E80)=0,"",'Gantt 15 semanas'!E80)</f>
        <v/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1.5" customHeight="1">
      <c r="A65" s="2"/>
      <c r="B65" s="1" t="s">
        <v>265</v>
      </c>
      <c r="C65" s="1" t="s">
        <v>224</v>
      </c>
      <c r="D65" s="18" t="s">
        <v>266</v>
      </c>
      <c r="E65" s="10">
        <v>4.0</v>
      </c>
      <c r="F65" s="18" t="s">
        <v>261</v>
      </c>
      <c r="G65" s="18" t="s">
        <v>267</v>
      </c>
      <c r="H65" s="21">
        <f>IF(COUNT('Gantt 15 semanas'!F81)=0,"",'Gantt 15 semanas'!F81)</f>
        <v>46349</v>
      </c>
      <c r="I65" s="21">
        <f>IF(COUNT('Gantt 15 semanas'!G81)=0,"",'Gantt 15 semanas'!G81)</f>
        <v>46355</v>
      </c>
      <c r="J65" s="11" t="str">
        <f>IF(COUNT('Gantt 15 semanas'!E81)=0,"",'Gantt 15 semanas'!E81)</f>
        <v/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1.5" customHeight="1">
      <c r="A66" s="2"/>
      <c r="B66" s="1"/>
      <c r="C66" s="1"/>
      <c r="D66" s="1"/>
      <c r="E66" s="1"/>
      <c r="F66" s="1"/>
      <c r="G66" s="1"/>
      <c r="H66" s="1"/>
      <c r="I66" s="1"/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1.5" customHeight="1">
      <c r="A67" s="2"/>
      <c r="B67" s="1"/>
      <c r="C67" s="1"/>
      <c r="D67" s="1"/>
      <c r="E67" s="1"/>
      <c r="F67" s="1"/>
      <c r="G67" s="1"/>
      <c r="H67" s="1"/>
      <c r="I67" s="1"/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1.5" customHeight="1">
      <c r="A68" s="2"/>
      <c r="B68" s="1"/>
      <c r="C68" s="1"/>
      <c r="D68" s="1"/>
      <c r="E68" s="1"/>
      <c r="F68" s="1"/>
      <c r="G68" s="1"/>
      <c r="H68" s="1"/>
      <c r="I68" s="1"/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1.5" customHeight="1">
      <c r="A69" s="2"/>
      <c r="B69" s="1"/>
      <c r="C69" s="1"/>
      <c r="D69" s="1"/>
      <c r="E69" s="1"/>
      <c r="F69" s="1"/>
      <c r="G69" s="1"/>
      <c r="H69" s="1"/>
      <c r="I69" s="1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1.5" customHeight="1">
      <c r="A70" s="2"/>
      <c r="B70" s="1"/>
      <c r="C70" s="1"/>
      <c r="D70" s="1"/>
      <c r="E70" s="1"/>
      <c r="F70" s="1"/>
      <c r="G70" s="1"/>
      <c r="H70" s="1"/>
      <c r="I70" s="1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1.5" customHeight="1">
      <c r="A71" s="2"/>
      <c r="B71" s="1"/>
      <c r="C71" s="1"/>
      <c r="D71" s="1"/>
      <c r="E71" s="1"/>
      <c r="F71" s="1"/>
      <c r="G71" s="1"/>
      <c r="H71" s="1"/>
      <c r="I71" s="1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1.5" customHeight="1">
      <c r="A72" s="2"/>
      <c r="B72" s="1"/>
      <c r="C72" s="1"/>
      <c r="D72" s="1"/>
      <c r="E72" s="1"/>
      <c r="F72" s="1"/>
      <c r="G72" s="1"/>
      <c r="H72" s="1"/>
      <c r="I72" s="1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1.5" customHeight="1">
      <c r="A73" s="2"/>
      <c r="B73" s="1"/>
      <c r="C73" s="1"/>
      <c r="D73" s="1"/>
      <c r="E73" s="1"/>
      <c r="F73" s="1"/>
      <c r="G73" s="1"/>
      <c r="H73" s="1"/>
      <c r="I73" s="1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1.5" customHeight="1">
      <c r="A74" s="2"/>
      <c r="B74" s="1"/>
      <c r="C74" s="1"/>
      <c r="D74" s="1"/>
      <c r="E74" s="1"/>
      <c r="F74" s="1"/>
      <c r="G74" s="1"/>
      <c r="H74" s="1"/>
      <c r="I74" s="1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1.5" customHeight="1">
      <c r="A75" s="2"/>
      <c r="B75" s="1"/>
      <c r="C75" s="1"/>
      <c r="D75" s="1"/>
      <c r="E75" s="1"/>
      <c r="F75" s="1"/>
      <c r="G75" s="1"/>
      <c r="H75" s="1"/>
      <c r="I75" s="1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1.5" customHeight="1">
      <c r="A76" s="2"/>
      <c r="B76" s="1"/>
      <c r="C76" s="1"/>
      <c r="D76" s="1"/>
      <c r="E76" s="1"/>
      <c r="F76" s="1"/>
      <c r="G76" s="1"/>
      <c r="H76" s="1"/>
      <c r="I76" s="1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1.5" customHeight="1">
      <c r="A77" s="2"/>
      <c r="B77" s="1"/>
      <c r="C77" s="1"/>
      <c r="D77" s="1"/>
      <c r="E77" s="1"/>
      <c r="F77" s="1"/>
      <c r="G77" s="1"/>
      <c r="H77" s="1"/>
      <c r="I77" s="1"/>
      <c r="J77" s="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1.5" customHeight="1">
      <c r="A78" s="2"/>
      <c r="B78" s="1"/>
      <c r="C78" s="1"/>
      <c r="D78" s="1"/>
      <c r="E78" s="1"/>
      <c r="F78" s="1"/>
      <c r="G78" s="1"/>
      <c r="H78" s="1"/>
      <c r="I78" s="1"/>
      <c r="J78" s="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1.5" customHeight="1">
      <c r="A79" s="2"/>
      <c r="B79" s="1"/>
      <c r="C79" s="1"/>
      <c r="D79" s="1"/>
      <c r="E79" s="1"/>
      <c r="F79" s="1"/>
      <c r="G79" s="1"/>
      <c r="H79" s="1"/>
      <c r="I79" s="1"/>
      <c r="J79" s="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1.5" customHeight="1">
      <c r="A80" s="2"/>
      <c r="B80" s="1"/>
      <c r="C80" s="1"/>
      <c r="D80" s="1"/>
      <c r="E80" s="1"/>
      <c r="F80" s="1"/>
      <c r="G80" s="1"/>
      <c r="H80" s="1"/>
      <c r="I80" s="1"/>
      <c r="J80" s="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1.5" customHeight="1">
      <c r="A81" s="2"/>
      <c r="B81" s="1"/>
      <c r="C81" s="1"/>
      <c r="D81" s="1"/>
      <c r="E81" s="1"/>
      <c r="F81" s="1"/>
      <c r="G81" s="1"/>
      <c r="H81" s="1"/>
      <c r="I81" s="1"/>
      <c r="J81" s="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1.5" customHeight="1">
      <c r="A82" s="2"/>
      <c r="B82" s="1"/>
      <c r="C82" s="1"/>
      <c r="D82" s="1"/>
      <c r="E82" s="1"/>
      <c r="F82" s="1"/>
      <c r="G82" s="1"/>
      <c r="H82" s="1"/>
      <c r="I82" s="1"/>
      <c r="J82" s="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1.5" customHeight="1">
      <c r="A83" s="2"/>
      <c r="B83" s="1"/>
      <c r="C83" s="1"/>
      <c r="D83" s="1"/>
      <c r="E83" s="1"/>
      <c r="F83" s="1"/>
      <c r="G83" s="1"/>
      <c r="H83" s="1"/>
      <c r="I83" s="1"/>
      <c r="J83" s="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1.5" customHeight="1">
      <c r="A84" s="2"/>
      <c r="B84" s="1"/>
      <c r="C84" s="1"/>
      <c r="D84" s="1"/>
      <c r="E84" s="1"/>
      <c r="F84" s="1"/>
      <c r="G84" s="1"/>
      <c r="H84" s="1"/>
      <c r="I84" s="1"/>
      <c r="J84" s="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1.5" customHeight="1">
      <c r="A85" s="2"/>
      <c r="B85" s="1"/>
      <c r="C85" s="1"/>
      <c r="D85" s="1"/>
      <c r="E85" s="1"/>
      <c r="F85" s="1"/>
      <c r="G85" s="1"/>
      <c r="H85" s="1"/>
      <c r="I85" s="1"/>
      <c r="J85" s="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1.5" customHeight="1">
      <c r="A86" s="2"/>
      <c r="B86" s="1"/>
      <c r="C86" s="1"/>
      <c r="D86" s="1"/>
      <c r="E86" s="1"/>
      <c r="F86" s="1"/>
      <c r="G86" s="1"/>
      <c r="H86" s="1"/>
      <c r="I86" s="1"/>
      <c r="J86" s="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1.5" customHeight="1">
      <c r="A87" s="2"/>
      <c r="B87" s="1"/>
      <c r="C87" s="1"/>
      <c r="D87" s="1"/>
      <c r="E87" s="1"/>
      <c r="F87" s="1"/>
      <c r="G87" s="1"/>
      <c r="H87" s="1"/>
      <c r="I87" s="1"/>
      <c r="J87" s="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1.5" customHeight="1">
      <c r="A88" s="2"/>
      <c r="B88" s="1"/>
      <c r="C88" s="1"/>
      <c r="D88" s="1"/>
      <c r="E88" s="1"/>
      <c r="F88" s="1"/>
      <c r="G88" s="1"/>
      <c r="H88" s="1"/>
      <c r="I88" s="1"/>
      <c r="J88" s="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1.5" customHeight="1">
      <c r="A89" s="2"/>
      <c r="B89" s="1"/>
      <c r="C89" s="1"/>
      <c r="D89" s="1"/>
      <c r="E89" s="1"/>
      <c r="F89" s="1"/>
      <c r="G89" s="1"/>
      <c r="H89" s="1"/>
      <c r="I89" s="1"/>
      <c r="J89" s="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1.5" customHeight="1">
      <c r="A90" s="2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1.5" customHeight="1">
      <c r="A91" s="2"/>
      <c r="B91" s="1"/>
      <c r="C91" s="1"/>
      <c r="D91" s="1"/>
      <c r="E91" s="1"/>
      <c r="F91" s="1"/>
      <c r="G91" s="1"/>
      <c r="H91" s="1"/>
      <c r="I91" s="1"/>
      <c r="J91" s="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1.5" customHeight="1">
      <c r="A92" s="2"/>
      <c r="B92" s="1"/>
      <c r="C92" s="1"/>
      <c r="D92" s="1"/>
      <c r="E92" s="1"/>
      <c r="F92" s="1"/>
      <c r="G92" s="1"/>
      <c r="H92" s="1"/>
      <c r="I92" s="1"/>
      <c r="J92" s="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1.5" customHeight="1">
      <c r="A93" s="2"/>
      <c r="B93" s="1"/>
      <c r="C93" s="1"/>
      <c r="D93" s="1"/>
      <c r="E93" s="1"/>
      <c r="F93" s="1"/>
      <c r="G93" s="1"/>
      <c r="H93" s="1"/>
      <c r="I93" s="1"/>
      <c r="J93" s="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1.5" customHeight="1">
      <c r="A94" s="2"/>
      <c r="B94" s="1"/>
      <c r="C94" s="1"/>
      <c r="D94" s="1"/>
      <c r="E94" s="1"/>
      <c r="F94" s="1"/>
      <c r="G94" s="1"/>
      <c r="H94" s="1"/>
      <c r="I94" s="1"/>
      <c r="J94" s="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1.5" customHeight="1">
      <c r="A95" s="2"/>
      <c r="B95" s="1"/>
      <c r="C95" s="1"/>
      <c r="D95" s="1"/>
      <c r="E95" s="1"/>
      <c r="F95" s="1"/>
      <c r="G95" s="1"/>
      <c r="H95" s="1"/>
      <c r="I95" s="1"/>
      <c r="J95" s="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B2:J2"/>
    <mergeCell ref="B4:J4"/>
    <mergeCell ref="B5:J5"/>
    <mergeCell ref="B7:J7"/>
    <mergeCell ref="B9:J9"/>
  </mergeCells>
  <dataValidations>
    <dataValidation type="decimal" allowBlank="1" sqref="E12:E65">
      <formula1>1.0</formula1>
      <formula2>75.0</formula2>
    </dataValidation>
    <dataValidation type="decimal" allowBlank="1" sqref="F12:F65">
      <formula1>0.0</formula1>
      <formula2>1000.0</formula2>
    </dataValidation>
  </dataValidations>
  <printOptions/>
  <pageMargins bottom="0.75" footer="0.0" header="0.0" left="0.7" right="0.7" top="0.75"/>
  <pageSetup orientation="landscape"/>
  <drawing r:id="rId1"/>
</worksheet>
</file>